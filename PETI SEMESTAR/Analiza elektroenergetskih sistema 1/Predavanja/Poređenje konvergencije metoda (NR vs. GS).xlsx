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15270" windowHeight="3150" activeTab="1"/>
  </bookViews>
  <sheets>
    <sheet name="Gauss-Seidel" sheetId="2" r:id="rId1"/>
    <sheet name="Newton-Raphson" sheetId="1" r:id="rId2"/>
    <sheet name="Test" sheetId="3" r:id="rId3"/>
  </sheets>
  <calcPr calcId="125725"/>
</workbook>
</file>

<file path=xl/calcChain.xml><?xml version="1.0" encoding="utf-8"?>
<calcChain xmlns="http://schemas.openxmlformats.org/spreadsheetml/2006/main">
  <c r="B9" i="3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8"/>
  <c r="B7"/>
  <c r="B6"/>
  <c r="G8" i="2"/>
  <c r="B30"/>
  <c r="B31"/>
  <c r="B28"/>
  <c r="B29"/>
  <c r="B23"/>
  <c r="B24"/>
  <c r="B25"/>
  <c r="B26"/>
  <c r="B27"/>
  <c r="B21"/>
  <c r="B22"/>
  <c r="B20"/>
  <c r="B19"/>
  <c r="B18"/>
  <c r="B17"/>
  <c r="B12"/>
  <c r="B13"/>
  <c r="B14"/>
  <c r="B15"/>
  <c r="B16"/>
  <c r="B11"/>
  <c r="B10"/>
  <c r="B9"/>
  <c r="B8"/>
  <c r="G7"/>
  <c r="G6"/>
  <c r="B6"/>
  <c r="B7"/>
  <c r="B21" i="1"/>
  <c r="B22"/>
  <c r="B23"/>
  <c r="B10"/>
  <c r="C10"/>
  <c r="D10"/>
  <c r="B11"/>
  <c r="C23"/>
  <c r="B24"/>
  <c r="C21"/>
  <c r="C11"/>
  <c r="B12"/>
  <c r="D11"/>
  <c r="C24"/>
  <c r="B25"/>
  <c r="C22"/>
  <c r="C25"/>
  <c r="B26"/>
  <c r="C12"/>
  <c r="D12"/>
  <c r="B13"/>
  <c r="C13"/>
  <c r="C26"/>
  <c r="B27"/>
  <c r="D13"/>
  <c r="C27"/>
  <c r="B28"/>
  <c r="C28"/>
  <c r="B29"/>
  <c r="C29"/>
  <c r="B30"/>
  <c r="C30"/>
  <c r="B31"/>
  <c r="C31"/>
  <c r="B32"/>
  <c r="C32"/>
  <c r="B33"/>
  <c r="C33"/>
  <c r="B34"/>
  <c r="C34"/>
  <c r="B35"/>
  <c r="C35"/>
  <c r="B36"/>
  <c r="C36"/>
  <c r="B37"/>
  <c r="C37"/>
  <c r="B38"/>
  <c r="C38"/>
  <c r="B39"/>
  <c r="C39"/>
  <c r="B40"/>
  <c r="C40"/>
  <c r="B41"/>
  <c r="C41"/>
  <c r="B42"/>
  <c r="C42"/>
  <c r="B43"/>
  <c r="C43"/>
  <c r="B44"/>
  <c r="C44"/>
  <c r="B45"/>
  <c r="C45"/>
  <c r="B46"/>
  <c r="C46"/>
</calcChain>
</file>

<file path=xl/sharedStrings.xml><?xml version="1.0" encoding="utf-8"?>
<sst xmlns="http://schemas.openxmlformats.org/spreadsheetml/2006/main" count="34" uniqueCount="15">
  <si>
    <t>It.no</t>
  </si>
  <si>
    <t>x</t>
  </si>
  <si>
    <t>f(x)</t>
  </si>
  <si>
    <t>f'(x)</t>
  </si>
  <si>
    <t>xo</t>
  </si>
  <si>
    <t>Poređenje konvergencije Newton-Raphsonovog i Gauss-Seidelovog metoda</t>
  </si>
  <si>
    <t>na primjeru rješavanja jednačine x = cos(x)</t>
  </si>
  <si>
    <t>Newton-Raphson</t>
  </si>
  <si>
    <t>Gauss-Seidel</t>
  </si>
  <si>
    <t>x = x-f(x)/f'(x)</t>
  </si>
  <si>
    <t>f(x) = x - cos(x)</t>
  </si>
  <si>
    <t>f'(x) = 1 + sin(x)</t>
  </si>
  <si>
    <t>x = cos(x)</t>
  </si>
  <si>
    <t>(početno pogađanje)</t>
  </si>
  <si>
    <t>f(x) = x - acos(x)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</si>
</sst>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>
      <selection activeCell="A7" sqref="A7"/>
    </sheetView>
  </sheetViews>
  <sheetFormatPr defaultRowHeight="15"/>
  <sheetData>
    <row r="1" spans="1:7">
      <c r="A1" s="3" t="s">
        <v>8</v>
      </c>
    </row>
    <row r="2" spans="1:7">
      <c r="A2" t="s">
        <v>12</v>
      </c>
      <c r="F2" t="s">
        <v>12</v>
      </c>
    </row>
    <row r="3" spans="1:7">
      <c r="A3" t="s">
        <v>10</v>
      </c>
      <c r="F3" t="s">
        <v>14</v>
      </c>
    </row>
    <row r="5" spans="1:7">
      <c r="A5" s="4" t="s">
        <v>0</v>
      </c>
      <c r="B5" s="4" t="s">
        <v>1</v>
      </c>
      <c r="F5" s="4" t="s">
        <v>0</v>
      </c>
      <c r="G5" s="4" t="s">
        <v>1</v>
      </c>
    </row>
    <row r="6" spans="1:7">
      <c r="A6" s="5">
        <v>0</v>
      </c>
      <c r="B6" s="6">
        <f>H6</f>
        <v>0</v>
      </c>
      <c r="F6" s="5">
        <v>0</v>
      </c>
      <c r="G6" s="6">
        <f>M6</f>
        <v>0</v>
      </c>
    </row>
    <row r="7" spans="1:7">
      <c r="A7" s="5">
        <v>1</v>
      </c>
      <c r="B7" s="6">
        <f t="shared" ref="B7:B31" si="0">COS(B6)</f>
        <v>1</v>
      </c>
      <c r="F7" s="5">
        <v>1</v>
      </c>
      <c r="G7" s="6">
        <f>ACOS(G6)</f>
        <v>1.5707963267948966</v>
      </c>
    </row>
    <row r="8" spans="1:7">
      <c r="A8" s="5">
        <v>2</v>
      </c>
      <c r="B8" s="6">
        <f t="shared" si="0"/>
        <v>0.54030230586813977</v>
      </c>
      <c r="F8" s="5">
        <v>2</v>
      </c>
      <c r="G8" s="6" t="e">
        <f>ACOS(G7)</f>
        <v>#NUM!</v>
      </c>
    </row>
    <row r="9" spans="1:7">
      <c r="A9" s="5">
        <v>3</v>
      </c>
      <c r="B9" s="6">
        <f t="shared" si="0"/>
        <v>0.85755321584639344</v>
      </c>
      <c r="F9" s="5">
        <v>3</v>
      </c>
      <c r="G9" s="6"/>
    </row>
    <row r="10" spans="1:7">
      <c r="A10" s="5">
        <v>4</v>
      </c>
      <c r="B10" s="6">
        <f t="shared" si="0"/>
        <v>0.65428979049777913</v>
      </c>
      <c r="F10" s="5">
        <v>4</v>
      </c>
      <c r="G10" s="6"/>
    </row>
    <row r="11" spans="1:7">
      <c r="A11" s="5">
        <v>5</v>
      </c>
      <c r="B11" s="6">
        <f t="shared" si="0"/>
        <v>0.79348035874256562</v>
      </c>
      <c r="F11" s="5">
        <v>5</v>
      </c>
      <c r="G11" s="6"/>
    </row>
    <row r="12" spans="1:7">
      <c r="A12" s="5">
        <v>6</v>
      </c>
      <c r="B12" s="6">
        <f t="shared" si="0"/>
        <v>0.70136877362275651</v>
      </c>
      <c r="F12" s="5">
        <v>6</v>
      </c>
      <c r="G12" s="6"/>
    </row>
    <row r="13" spans="1:7">
      <c r="A13" s="5">
        <v>7</v>
      </c>
      <c r="B13" s="6">
        <f t="shared" si="0"/>
        <v>0.76395968290065419</v>
      </c>
      <c r="F13" s="5">
        <v>7</v>
      </c>
      <c r="G13" s="6"/>
    </row>
    <row r="14" spans="1:7">
      <c r="A14" s="5">
        <v>8</v>
      </c>
      <c r="B14" s="6">
        <f t="shared" si="0"/>
        <v>0.72210242502670774</v>
      </c>
      <c r="F14" s="5">
        <v>8</v>
      </c>
      <c r="G14" s="6"/>
    </row>
    <row r="15" spans="1:7">
      <c r="A15" s="5">
        <v>9</v>
      </c>
      <c r="B15" s="6">
        <f t="shared" si="0"/>
        <v>0.75041776176376052</v>
      </c>
      <c r="F15" s="5">
        <v>9</v>
      </c>
      <c r="G15" s="6"/>
    </row>
    <row r="16" spans="1:7">
      <c r="A16" s="5">
        <v>10</v>
      </c>
      <c r="B16" s="6">
        <f t="shared" si="0"/>
        <v>0.73140404242250978</v>
      </c>
      <c r="F16" s="5">
        <v>10</v>
      </c>
      <c r="G16" s="6"/>
    </row>
    <row r="17" spans="1:7">
      <c r="A17" s="5">
        <v>11</v>
      </c>
      <c r="B17" s="6">
        <f t="shared" si="0"/>
        <v>0.74423735490055687</v>
      </c>
      <c r="F17" s="5">
        <v>11</v>
      </c>
      <c r="G17" s="6"/>
    </row>
    <row r="18" spans="1:7">
      <c r="A18" s="5">
        <v>12</v>
      </c>
      <c r="B18" s="6">
        <f t="shared" si="0"/>
        <v>0.73560474043634738</v>
      </c>
      <c r="F18" s="5">
        <v>12</v>
      </c>
      <c r="G18" s="6"/>
    </row>
    <row r="19" spans="1:7">
      <c r="A19" s="5">
        <v>13</v>
      </c>
      <c r="B19" s="6">
        <f t="shared" si="0"/>
        <v>0.7414250866101092</v>
      </c>
      <c r="F19" s="5">
        <v>13</v>
      </c>
      <c r="G19" s="6"/>
    </row>
    <row r="20" spans="1:7">
      <c r="A20" s="5">
        <v>14</v>
      </c>
      <c r="B20" s="6">
        <f t="shared" si="0"/>
        <v>0.73750689051324281</v>
      </c>
      <c r="F20" s="5">
        <v>14</v>
      </c>
      <c r="G20" s="6"/>
    </row>
    <row r="21" spans="1:7">
      <c r="A21" s="5">
        <v>15</v>
      </c>
      <c r="B21" s="6">
        <f t="shared" si="0"/>
        <v>0.74014733556787571</v>
      </c>
      <c r="F21" s="5">
        <v>15</v>
      </c>
      <c r="G21" s="6"/>
    </row>
    <row r="22" spans="1:7">
      <c r="A22" s="5">
        <v>16</v>
      </c>
      <c r="B22" s="6">
        <f t="shared" si="0"/>
        <v>0.73836920412232321</v>
      </c>
      <c r="F22" s="5">
        <v>16</v>
      </c>
      <c r="G22" s="6"/>
    </row>
    <row r="23" spans="1:7">
      <c r="A23" s="5">
        <v>17</v>
      </c>
      <c r="B23" s="6">
        <f t="shared" si="0"/>
        <v>0.73956720221225614</v>
      </c>
      <c r="F23" s="5">
        <v>17</v>
      </c>
      <c r="G23" s="6"/>
    </row>
    <row r="24" spans="1:7">
      <c r="A24" s="5">
        <v>18</v>
      </c>
      <c r="B24" s="6">
        <f t="shared" si="0"/>
        <v>0.73876031987421131</v>
      </c>
      <c r="F24" s="5">
        <v>18</v>
      </c>
      <c r="G24" s="6"/>
    </row>
    <row r="25" spans="1:7">
      <c r="A25" s="5">
        <v>19</v>
      </c>
      <c r="B25" s="6">
        <f t="shared" si="0"/>
        <v>0.73930389239690586</v>
      </c>
      <c r="F25" s="5">
        <v>19</v>
      </c>
      <c r="G25" s="6"/>
    </row>
    <row r="26" spans="1:7">
      <c r="A26" s="5">
        <v>20</v>
      </c>
      <c r="B26" s="6">
        <f t="shared" si="0"/>
        <v>0.73893775671534445</v>
      </c>
      <c r="F26" s="5">
        <v>20</v>
      </c>
      <c r="G26" s="6"/>
    </row>
    <row r="27" spans="1:7">
      <c r="A27" s="5">
        <v>21</v>
      </c>
      <c r="B27" s="6">
        <f t="shared" si="0"/>
        <v>0.73918439977149364</v>
      </c>
      <c r="F27" s="5">
        <v>21</v>
      </c>
      <c r="G27" s="6"/>
    </row>
    <row r="28" spans="1:7">
      <c r="A28" s="5">
        <v>22</v>
      </c>
      <c r="B28" s="6">
        <f t="shared" si="0"/>
        <v>0.7390182624274122</v>
      </c>
      <c r="F28" s="5">
        <v>22</v>
      </c>
      <c r="G28" s="6"/>
    </row>
    <row r="29" spans="1:7">
      <c r="A29" s="5">
        <v>23</v>
      </c>
      <c r="B29" s="6">
        <f t="shared" si="0"/>
        <v>0.73913017652967106</v>
      </c>
      <c r="F29" s="5">
        <v>23</v>
      </c>
      <c r="G29" s="6"/>
    </row>
    <row r="30" spans="1:7">
      <c r="A30" s="5">
        <v>24</v>
      </c>
      <c r="B30" s="6">
        <f t="shared" si="0"/>
        <v>0.73905479074691738</v>
      </c>
      <c r="F30" s="5">
        <v>24</v>
      </c>
      <c r="G30" s="6"/>
    </row>
    <row r="31" spans="1:7">
      <c r="A31" s="5">
        <v>25</v>
      </c>
      <c r="B31" s="6">
        <f t="shared" si="0"/>
        <v>0.73910557192653625</v>
      </c>
      <c r="F31" s="5">
        <v>25</v>
      </c>
      <c r="G3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>
      <selection activeCell="A16" sqref="A16:B46"/>
    </sheetView>
  </sheetViews>
  <sheetFormatPr defaultRowHeight="15"/>
  <sheetData>
    <row r="1" spans="1:9" ht="15.75" customHeight="1">
      <c r="A1" s="8" t="s">
        <v>5</v>
      </c>
      <c r="B1" s="8"/>
      <c r="C1" s="8"/>
      <c r="D1" s="8"/>
      <c r="E1" s="8"/>
      <c r="F1" s="8"/>
      <c r="G1" s="8"/>
      <c r="H1" s="8"/>
      <c r="I1" s="8"/>
    </row>
    <row r="2" spans="1:9" ht="15.75" customHeight="1">
      <c r="A2" s="9" t="s">
        <v>6</v>
      </c>
      <c r="B2" s="9"/>
      <c r="C2" s="9"/>
      <c r="D2" s="9"/>
      <c r="E2" s="9"/>
      <c r="F2" s="9"/>
      <c r="G2" s="9"/>
      <c r="H2" s="9"/>
      <c r="I2" s="9"/>
    </row>
    <row r="4" spans="1:9">
      <c r="A4" s="3" t="s">
        <v>7</v>
      </c>
      <c r="B4" s="3"/>
    </row>
    <row r="5" spans="1:9">
      <c r="A5" t="s">
        <v>9</v>
      </c>
    </row>
    <row r="6" spans="1:9">
      <c r="A6" t="s">
        <v>10</v>
      </c>
    </row>
    <row r="7" spans="1:9">
      <c r="A7" t="s">
        <v>11</v>
      </c>
    </row>
    <row r="9" spans="1:9">
      <c r="A9" s="4" t="s">
        <v>0</v>
      </c>
      <c r="B9" s="4" t="s">
        <v>1</v>
      </c>
      <c r="C9" s="4" t="s">
        <v>2</v>
      </c>
      <c r="D9" s="4" t="s">
        <v>3</v>
      </c>
      <c r="G9" s="6"/>
      <c r="H9" s="5" t="s">
        <v>4</v>
      </c>
    </row>
    <row r="10" spans="1:9">
      <c r="A10" s="5">
        <v>0</v>
      </c>
      <c r="B10" s="6">
        <f>H10</f>
        <v>1</v>
      </c>
      <c r="C10" s="6">
        <f>B10-COS(B10)</f>
        <v>0.45969769413186023</v>
      </c>
      <c r="D10" s="6">
        <f>1+SIN(B10)</f>
        <v>1.8414709848078965</v>
      </c>
      <c r="G10" s="6"/>
      <c r="H10" s="6">
        <v>1</v>
      </c>
    </row>
    <row r="11" spans="1:9">
      <c r="A11" s="5">
        <v>1</v>
      </c>
      <c r="B11" s="6">
        <f>B10-C10/D10</f>
        <v>0.75036386784024389</v>
      </c>
      <c r="C11" s="6">
        <f>B11-COS(B11)</f>
        <v>1.8923073822117442E-2</v>
      </c>
      <c r="D11" s="6">
        <f>1+SIN(B11)</f>
        <v>1.6819049529414878</v>
      </c>
      <c r="G11" t="s">
        <v>13</v>
      </c>
    </row>
    <row r="12" spans="1:9">
      <c r="A12" s="5">
        <v>2</v>
      </c>
      <c r="B12" s="7">
        <f>B11-C11/D11</f>
        <v>0.73911289091136168</v>
      </c>
      <c r="C12" s="7">
        <f>B12-COS(B12)</f>
        <v>4.6455898990771516E-5</v>
      </c>
      <c r="D12" s="6">
        <f>1+SIN(B12)</f>
        <v>1.6736325442243012</v>
      </c>
    </row>
    <row r="13" spans="1:9">
      <c r="A13" s="5">
        <v>3</v>
      </c>
      <c r="B13" s="6">
        <f>B12-C12/D12</f>
        <v>0.73908513338528403</v>
      </c>
      <c r="C13" s="6">
        <f>B13-COS(B13)</f>
        <v>2.8472058044570758E-10</v>
      </c>
      <c r="D13" s="6">
        <f>1+SIN(B13)</f>
        <v>1.6736120293089505</v>
      </c>
    </row>
    <row r="16" spans="1:9">
      <c r="A16" s="3" t="s">
        <v>8</v>
      </c>
    </row>
    <row r="17" spans="1:8">
      <c r="A17" t="s">
        <v>12</v>
      </c>
    </row>
    <row r="18" spans="1:8">
      <c r="A18" t="s">
        <v>10</v>
      </c>
    </row>
    <row r="20" spans="1:8">
      <c r="A20" s="4" t="s">
        <v>0</v>
      </c>
      <c r="B20" s="4" t="s">
        <v>1</v>
      </c>
      <c r="C20" s="4" t="s">
        <v>2</v>
      </c>
      <c r="D20" s="2"/>
      <c r="G20" s="6"/>
      <c r="H20" s="5" t="s">
        <v>4</v>
      </c>
    </row>
    <row r="21" spans="1:8">
      <c r="A21" s="5">
        <v>0</v>
      </c>
      <c r="B21" s="6">
        <f>H21</f>
        <v>1</v>
      </c>
      <c r="C21" s="6">
        <f>B21-COS(B21)</f>
        <v>0.45969769413186023</v>
      </c>
      <c r="G21" s="6"/>
      <c r="H21" s="6">
        <v>1</v>
      </c>
    </row>
    <row r="22" spans="1:8">
      <c r="A22" s="5">
        <v>1</v>
      </c>
      <c r="B22" s="6">
        <f>COS(B21)</f>
        <v>0.54030230586813977</v>
      </c>
      <c r="C22" s="6">
        <f>B22-COS(B22)</f>
        <v>-0.31725090997825367</v>
      </c>
      <c r="G22" t="s">
        <v>13</v>
      </c>
    </row>
    <row r="23" spans="1:8">
      <c r="A23" s="5">
        <v>2</v>
      </c>
      <c r="B23" s="6">
        <f t="shared" ref="B23:B34" si="0">COS(B22)</f>
        <v>0.85755321584639344</v>
      </c>
      <c r="C23" s="6">
        <f t="shared" ref="C23:C46" si="1">B23-COS(B23)</f>
        <v>0.2032634253486143</v>
      </c>
    </row>
    <row r="24" spans="1:8">
      <c r="A24" s="5">
        <v>3</v>
      </c>
      <c r="B24" s="6">
        <f t="shared" si="0"/>
        <v>0.65428979049777913</v>
      </c>
      <c r="C24" s="6">
        <f t="shared" si="1"/>
        <v>-0.13919056824478648</v>
      </c>
    </row>
    <row r="25" spans="1:8">
      <c r="A25" s="5">
        <v>4</v>
      </c>
      <c r="B25" s="6">
        <f t="shared" si="0"/>
        <v>0.79348035874256562</v>
      </c>
      <c r="C25" s="6">
        <f t="shared" si="1"/>
        <v>9.2111585119809103E-2</v>
      </c>
    </row>
    <row r="26" spans="1:8">
      <c r="A26" s="5">
        <v>5</v>
      </c>
      <c r="B26" s="6">
        <f t="shared" si="0"/>
        <v>0.70136877362275651</v>
      </c>
      <c r="C26" s="6">
        <f t="shared" si="1"/>
        <v>-6.2590909277897677E-2</v>
      </c>
    </row>
    <row r="27" spans="1:8">
      <c r="A27" s="5">
        <v>6</v>
      </c>
      <c r="B27" s="6">
        <f t="shared" si="0"/>
        <v>0.76395968290065419</v>
      </c>
      <c r="C27" s="6">
        <f t="shared" si="1"/>
        <v>4.1857257873946452E-2</v>
      </c>
    </row>
    <row r="28" spans="1:8">
      <c r="A28" s="5">
        <v>7</v>
      </c>
      <c r="B28" s="6">
        <f t="shared" si="0"/>
        <v>0.72210242502670774</v>
      </c>
      <c r="C28" s="6">
        <f t="shared" si="1"/>
        <v>-2.8315336737052776E-2</v>
      </c>
    </row>
    <row r="29" spans="1:8">
      <c r="A29" s="5">
        <v>8</v>
      </c>
      <c r="B29" s="6">
        <f t="shared" si="0"/>
        <v>0.75041776176376052</v>
      </c>
      <c r="C29" s="6">
        <f t="shared" si="1"/>
        <v>1.9013719341250734E-2</v>
      </c>
    </row>
    <row r="30" spans="1:8">
      <c r="A30" s="5">
        <v>9</v>
      </c>
      <c r="B30" s="6">
        <f t="shared" si="0"/>
        <v>0.73140404242250978</v>
      </c>
      <c r="C30" s="6">
        <f t="shared" si="1"/>
        <v>-1.2833312478047088E-2</v>
      </c>
    </row>
    <row r="31" spans="1:8">
      <c r="A31" s="5">
        <v>10</v>
      </c>
      <c r="B31" s="6">
        <f t="shared" si="0"/>
        <v>0.74423735490055687</v>
      </c>
      <c r="C31" s="6">
        <f t="shared" si="1"/>
        <v>8.6326144642094871E-3</v>
      </c>
    </row>
    <row r="32" spans="1:8">
      <c r="A32" s="5">
        <v>11</v>
      </c>
      <c r="B32" s="6">
        <f t="shared" si="0"/>
        <v>0.73560474043634738</v>
      </c>
      <c r="C32" s="6">
        <f t="shared" si="1"/>
        <v>-5.8203461737618145E-3</v>
      </c>
    </row>
    <row r="33" spans="1:3">
      <c r="A33" s="5">
        <v>12</v>
      </c>
      <c r="B33" s="6">
        <f t="shared" si="0"/>
        <v>0.7414250866101092</v>
      </c>
      <c r="C33" s="6">
        <f t="shared" si="1"/>
        <v>3.9181960968663887E-3</v>
      </c>
    </row>
    <row r="34" spans="1:3">
      <c r="A34" s="5">
        <v>13</v>
      </c>
      <c r="B34" s="6">
        <f t="shared" si="0"/>
        <v>0.73750689051324281</v>
      </c>
      <c r="C34" s="6">
        <f t="shared" si="1"/>
        <v>-2.6404450546329006E-3</v>
      </c>
    </row>
    <row r="35" spans="1:3">
      <c r="A35" s="5">
        <v>14</v>
      </c>
      <c r="B35" s="6">
        <f t="shared" ref="B35:B46" si="2">COS(B34)</f>
        <v>0.74014733556787571</v>
      </c>
      <c r="C35" s="6">
        <f t="shared" si="1"/>
        <v>1.7781314455524999E-3</v>
      </c>
    </row>
    <row r="36" spans="1:3">
      <c r="A36" s="5">
        <v>15</v>
      </c>
      <c r="B36" s="6">
        <f t="shared" si="2"/>
        <v>0.73836920412232321</v>
      </c>
      <c r="C36" s="6">
        <f t="shared" si="1"/>
        <v>-1.1979980899329279E-3</v>
      </c>
    </row>
    <row r="37" spans="1:3">
      <c r="A37" s="5">
        <v>16</v>
      </c>
      <c r="B37" s="6">
        <f t="shared" si="2"/>
        <v>0.73956720221225614</v>
      </c>
      <c r="C37" s="6">
        <f t="shared" si="1"/>
        <v>8.0688233804482312E-4</v>
      </c>
    </row>
    <row r="38" spans="1:3">
      <c r="A38" s="5">
        <v>17</v>
      </c>
      <c r="B38" s="6">
        <f t="shared" si="2"/>
        <v>0.73876031987421131</v>
      </c>
      <c r="C38" s="6">
        <f t="shared" si="1"/>
        <v>-5.4357252269454648E-4</v>
      </c>
    </row>
    <row r="39" spans="1:3">
      <c r="A39" s="5">
        <v>18</v>
      </c>
      <c r="B39" s="6">
        <f t="shared" si="2"/>
        <v>0.73930389239690586</v>
      </c>
      <c r="C39" s="6">
        <f t="shared" si="1"/>
        <v>3.6613568156140808E-4</v>
      </c>
    </row>
    <row r="40" spans="1:3">
      <c r="A40" s="5">
        <v>19</v>
      </c>
      <c r="B40" s="6">
        <f t="shared" si="2"/>
        <v>0.73893775671534445</v>
      </c>
      <c r="C40" s="6">
        <f t="shared" si="1"/>
        <v>-2.4664305614918725E-4</v>
      </c>
    </row>
    <row r="41" spans="1:3">
      <c r="A41" s="5">
        <v>20</v>
      </c>
      <c r="B41" s="6">
        <f t="shared" si="2"/>
        <v>0.73918439977149364</v>
      </c>
      <c r="C41" s="6">
        <f t="shared" si="1"/>
        <v>1.6613734408144065E-4</v>
      </c>
    </row>
    <row r="42" spans="1:3">
      <c r="A42" s="5">
        <v>21</v>
      </c>
      <c r="B42" s="6">
        <f t="shared" si="2"/>
        <v>0.7390182624274122</v>
      </c>
      <c r="C42" s="6">
        <f t="shared" si="1"/>
        <v>-1.1191410225885878E-4</v>
      </c>
    </row>
    <row r="43" spans="1:3">
      <c r="A43" s="5">
        <v>22</v>
      </c>
      <c r="B43" s="7">
        <f t="shared" si="2"/>
        <v>0.73913017652967106</v>
      </c>
      <c r="C43" s="7">
        <f t="shared" si="1"/>
        <v>7.5385782753678576E-5</v>
      </c>
    </row>
    <row r="44" spans="1:3">
      <c r="A44" s="5">
        <v>23</v>
      </c>
      <c r="B44" s="6">
        <f t="shared" si="2"/>
        <v>0.73905479074691738</v>
      </c>
      <c r="C44" s="6">
        <f t="shared" si="1"/>
        <v>-5.0781179618875072E-5</v>
      </c>
    </row>
    <row r="45" spans="1:3">
      <c r="A45" s="5">
        <v>24</v>
      </c>
      <c r="B45" s="6">
        <f t="shared" si="2"/>
        <v>0.73910557192653625</v>
      </c>
      <c r="C45" s="6">
        <f t="shared" si="1"/>
        <v>3.4206627591348848E-5</v>
      </c>
    </row>
    <row r="46" spans="1:3">
      <c r="A46" s="5">
        <v>25</v>
      </c>
      <c r="B46" s="6">
        <f t="shared" si="2"/>
        <v>0.7390713652989449</v>
      </c>
      <c r="C46" s="6">
        <f t="shared" si="1"/>
        <v>-2.3042080146362665E-5</v>
      </c>
    </row>
    <row r="47" spans="1:3">
      <c r="A47" s="1"/>
    </row>
    <row r="48" spans="1:3">
      <c r="A48" s="1"/>
    </row>
    <row r="49" spans="1:1">
      <c r="A49" s="1"/>
    </row>
    <row r="50" spans="1:1">
      <c r="A50" s="1"/>
    </row>
    <row r="51" spans="1:1">
      <c r="A51" s="1"/>
    </row>
  </sheetData>
  <mergeCells count="2">
    <mergeCell ref="A1:I1"/>
    <mergeCell ref="A2:I2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3"/>
  <sheetViews>
    <sheetView topLeftCell="A10" zoomScale="150" zoomScaleNormal="150" workbookViewId="0">
      <selection activeCell="D13" sqref="D13"/>
    </sheetView>
  </sheetViews>
  <sheetFormatPr defaultRowHeight="15"/>
  <sheetData>
    <row r="1" spans="1:2">
      <c r="A1" s="3" t="s">
        <v>8</v>
      </c>
    </row>
    <row r="2" spans="1:2">
      <c r="A2" t="s">
        <v>12</v>
      </c>
    </row>
    <row r="3" spans="1:2">
      <c r="A3" t="s">
        <v>10</v>
      </c>
    </row>
    <row r="5" spans="1:2">
      <c r="A5" s="4" t="s">
        <v>0</v>
      </c>
      <c r="B5" s="4" t="s">
        <v>1</v>
      </c>
    </row>
    <row r="6" spans="1:2">
      <c r="A6" s="5">
        <v>0</v>
      </c>
      <c r="B6" s="6">
        <f>H6</f>
        <v>0</v>
      </c>
    </row>
    <row r="7" spans="1:2">
      <c r="A7" s="5">
        <v>1</v>
      </c>
      <c r="B7" s="6">
        <f>COS(B6)</f>
        <v>1</v>
      </c>
    </row>
    <row r="8" spans="1:2">
      <c r="A8" s="5">
        <v>2</v>
      </c>
      <c r="B8" s="6">
        <f>COS(B7)</f>
        <v>0.54030230586813977</v>
      </c>
    </row>
    <row r="9" spans="1:2">
      <c r="A9" s="5">
        <v>3</v>
      </c>
      <c r="B9" s="6">
        <f t="shared" ref="B9:B33" si="0">COS(B8)</f>
        <v>0.85755321584639344</v>
      </c>
    </row>
    <row r="10" spans="1:2">
      <c r="A10" s="5">
        <v>4</v>
      </c>
      <c r="B10" s="6">
        <f t="shared" si="0"/>
        <v>0.65428979049777913</v>
      </c>
    </row>
    <row r="11" spans="1:2">
      <c r="A11" s="5">
        <v>5</v>
      </c>
      <c r="B11" s="6">
        <f t="shared" si="0"/>
        <v>0.79348035874256562</v>
      </c>
    </row>
    <row r="12" spans="1:2">
      <c r="A12" s="5">
        <v>6</v>
      </c>
      <c r="B12" s="6">
        <f t="shared" si="0"/>
        <v>0.70136877362275651</v>
      </c>
    </row>
    <row r="13" spans="1:2">
      <c r="A13" s="5">
        <v>7</v>
      </c>
      <c r="B13" s="6">
        <f t="shared" si="0"/>
        <v>0.76395968290065419</v>
      </c>
    </row>
    <row r="14" spans="1:2">
      <c r="A14" s="5">
        <v>8</v>
      </c>
      <c r="B14" s="6">
        <f t="shared" si="0"/>
        <v>0.72210242502670774</v>
      </c>
    </row>
    <row r="15" spans="1:2">
      <c r="A15" s="5">
        <v>9</v>
      </c>
      <c r="B15" s="6">
        <f t="shared" si="0"/>
        <v>0.75041776176376052</v>
      </c>
    </row>
    <row r="16" spans="1:2">
      <c r="A16" s="5">
        <v>10</v>
      </c>
      <c r="B16" s="6">
        <f t="shared" si="0"/>
        <v>0.73140404242250978</v>
      </c>
    </row>
    <row r="17" spans="1:2">
      <c r="A17" s="5">
        <v>11</v>
      </c>
      <c r="B17" s="6">
        <f t="shared" si="0"/>
        <v>0.74423735490055687</v>
      </c>
    </row>
    <row r="18" spans="1:2">
      <c r="A18" s="5">
        <v>12</v>
      </c>
      <c r="B18" s="6">
        <f t="shared" si="0"/>
        <v>0.73560474043634738</v>
      </c>
    </row>
    <row r="19" spans="1:2">
      <c r="A19" s="5">
        <v>13</v>
      </c>
      <c r="B19" s="6">
        <f t="shared" si="0"/>
        <v>0.7414250866101092</v>
      </c>
    </row>
    <row r="20" spans="1:2">
      <c r="A20" s="5">
        <v>14</v>
      </c>
      <c r="B20" s="6">
        <f t="shared" si="0"/>
        <v>0.73750689051324281</v>
      </c>
    </row>
    <row r="21" spans="1:2">
      <c r="A21" s="5">
        <v>15</v>
      </c>
      <c r="B21" s="6">
        <f t="shared" si="0"/>
        <v>0.74014733556787571</v>
      </c>
    </row>
    <row r="22" spans="1:2">
      <c r="A22" s="5">
        <v>16</v>
      </c>
      <c r="B22" s="6">
        <f t="shared" si="0"/>
        <v>0.73836920412232321</v>
      </c>
    </row>
    <row r="23" spans="1:2">
      <c r="A23" s="5">
        <v>17</v>
      </c>
      <c r="B23" s="6">
        <f t="shared" si="0"/>
        <v>0.73956720221225614</v>
      </c>
    </row>
    <row r="24" spans="1:2">
      <c r="A24" s="5">
        <v>18</v>
      </c>
      <c r="B24" s="6">
        <f t="shared" si="0"/>
        <v>0.73876031987421131</v>
      </c>
    </row>
    <row r="25" spans="1:2">
      <c r="A25" s="5">
        <v>19</v>
      </c>
      <c r="B25" s="6">
        <f t="shared" si="0"/>
        <v>0.73930389239690586</v>
      </c>
    </row>
    <row r="26" spans="1:2">
      <c r="A26" s="5">
        <v>20</v>
      </c>
      <c r="B26" s="6">
        <f t="shared" si="0"/>
        <v>0.73893775671534445</v>
      </c>
    </row>
    <row r="27" spans="1:2">
      <c r="A27" s="5">
        <v>21</v>
      </c>
      <c r="B27" s="6">
        <f t="shared" si="0"/>
        <v>0.73918439977149364</v>
      </c>
    </row>
    <row r="28" spans="1:2">
      <c r="A28" s="5">
        <v>22</v>
      </c>
      <c r="B28" s="6">
        <f t="shared" si="0"/>
        <v>0.7390182624274122</v>
      </c>
    </row>
    <row r="29" spans="1:2">
      <c r="A29" s="5">
        <v>23</v>
      </c>
      <c r="B29" s="6">
        <f t="shared" si="0"/>
        <v>0.73913017652967106</v>
      </c>
    </row>
    <row r="30" spans="1:2">
      <c r="A30" s="5">
        <v>24</v>
      </c>
      <c r="B30" s="6">
        <f t="shared" si="0"/>
        <v>0.73905479074691738</v>
      </c>
    </row>
    <row r="31" spans="1:2">
      <c r="A31" s="5">
        <v>25</v>
      </c>
      <c r="B31" s="6">
        <f t="shared" si="0"/>
        <v>0.73910557192653625</v>
      </c>
    </row>
    <row r="32" spans="1:2">
      <c r="A32" s="5">
        <v>26</v>
      </c>
      <c r="B32" s="6">
        <f t="shared" si="0"/>
        <v>0.7390713652989449</v>
      </c>
    </row>
    <row r="33" spans="1:2">
      <c r="A33" s="5">
        <v>27</v>
      </c>
      <c r="B33" s="6">
        <f t="shared" si="0"/>
        <v>0.73909440737909127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Gauss-Seidel</vt:lpstr>
      <vt:lpstr>Newton-Raphson</vt:lpstr>
      <vt:lpstr>Test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Cedomir Zeljkovic</dc:creator>
  <cp:lastModifiedBy>Korisnik</cp:lastModifiedBy>
  <cp:lastPrinted>2012-11-20T07:50:49Z</cp:lastPrinted>
  <dcterms:created xsi:type="dcterms:W3CDTF">2012-11-20T07:22:16Z</dcterms:created>
  <dcterms:modified xsi:type="dcterms:W3CDTF">2020-12-16T12:11:49Z</dcterms:modified>
</cp:coreProperties>
</file>