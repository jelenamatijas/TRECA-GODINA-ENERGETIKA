
<file path=[Content_Types].xml><?xml version="1.0" encoding="utf-8"?>
<Types xmlns="http://schemas.openxmlformats.org/package/2006/content-types">
  <Default Extension="bin" ContentType="application/vnd.openxmlformats-officedocument.oleObject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10515" windowHeight="418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M5" i="1"/>
  <c r="D6"/>
  <c r="E7" s="1"/>
  <c r="E6"/>
  <c r="D7" s="1"/>
  <c r="F6"/>
  <c r="K6"/>
  <c r="L5"/>
  <c r="K5"/>
  <c r="D5"/>
  <c r="E5"/>
  <c r="F5"/>
  <c r="E8" l="1"/>
  <c r="D9" s="1"/>
  <c r="F8"/>
  <c r="D8"/>
  <c r="F7"/>
  <c r="M6"/>
  <c r="L6"/>
  <c r="F9" l="1"/>
  <c r="E10" s="1"/>
  <c r="D11" s="1"/>
  <c r="E9"/>
  <c r="F10" s="1"/>
  <c r="K7"/>
  <c r="D10" l="1"/>
  <c r="M7"/>
  <c r="L7"/>
  <c r="E11" l="1"/>
  <c r="F11"/>
  <c r="E12" s="1"/>
  <c r="K8"/>
  <c r="D12" l="1"/>
  <c r="F12"/>
  <c r="D13" s="1"/>
  <c r="L8"/>
  <c r="F14" l="1"/>
  <c r="E14"/>
  <c r="F13"/>
  <c r="E13"/>
  <c r="K9"/>
  <c r="M8"/>
  <c r="D15" l="1"/>
  <c r="D14"/>
  <c r="M9"/>
  <c r="L9"/>
  <c r="E16" l="1"/>
  <c r="D17" s="1"/>
  <c r="F16"/>
  <c r="E15"/>
  <c r="D16" s="1"/>
  <c r="F15"/>
  <c r="K10"/>
  <c r="F17" l="1"/>
  <c r="E18" s="1"/>
  <c r="E17"/>
  <c r="L10"/>
  <c r="D19" l="1"/>
  <c r="D18"/>
  <c r="F18"/>
  <c r="K11"/>
  <c r="M10"/>
  <c r="E20" l="1"/>
  <c r="F20"/>
  <c r="F19"/>
  <c r="E19"/>
  <c r="M11"/>
  <c r="L11"/>
  <c r="D20" l="1"/>
  <c r="K12"/>
  <c r="L12" l="1"/>
  <c r="K13" l="1"/>
  <c r="M12"/>
  <c r="H4"/>
  <c r="H5"/>
  <c r="H6"/>
  <c r="M13" l="1"/>
  <c r="L13"/>
  <c r="K14" l="1"/>
  <c r="M14" l="1"/>
  <c r="L14"/>
  <c r="K15" l="1"/>
  <c r="L15" l="1"/>
  <c r="K16" l="1"/>
  <c r="M15"/>
  <c r="L16" l="1"/>
  <c r="K17" l="1"/>
  <c r="M16"/>
  <c r="M17" l="1"/>
  <c r="L17"/>
  <c r="K18" l="1"/>
  <c r="M18" l="1"/>
  <c r="L18"/>
  <c r="K19" l="1"/>
  <c r="M19" l="1"/>
  <c r="L19"/>
  <c r="K20" l="1"/>
  <c r="L20" l="1"/>
  <c r="M20" s="1"/>
</calcChain>
</file>

<file path=xl/sharedStrings.xml><?xml version="1.0" encoding="utf-8"?>
<sst xmlns="http://schemas.openxmlformats.org/spreadsheetml/2006/main" count="13" uniqueCount="10">
  <si>
    <t>x</t>
  </si>
  <si>
    <t>y</t>
  </si>
  <si>
    <t>z</t>
  </si>
  <si>
    <t>Riješiti sistem jednačina</t>
  </si>
  <si>
    <t>Provjera</t>
  </si>
  <si>
    <t>Gauss-Seidel postavka</t>
  </si>
  <si>
    <t>POSTAVKA PROBLEMA</t>
  </si>
  <si>
    <t>GAUSS-OV METOD</t>
  </si>
  <si>
    <t>SEIDEL-OVA MODIFIKACIJA</t>
  </si>
  <si>
    <t>PROVJERA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</si>
</sst>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4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oleObject" Target="../embeddings/oleObject1.bin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>
      <selection activeCell="L5" sqref="L5"/>
    </sheetView>
  </sheetViews>
  <sheetFormatPr defaultRowHeight="15"/>
  <cols>
    <col min="1" max="1" width="39.7109375" customWidth="1"/>
    <col min="2" max="2" width="5" customWidth="1"/>
    <col min="3" max="3" width="7.28515625" customWidth="1"/>
    <col min="7" max="7" width="5.28515625" customWidth="1"/>
    <col min="8" max="8" width="12" bestFit="1" customWidth="1"/>
    <col min="9" max="9" width="5.140625" customWidth="1"/>
  </cols>
  <sheetData>
    <row r="1" spans="1:13">
      <c r="A1" s="6" t="s">
        <v>6</v>
      </c>
      <c r="B1" s="9"/>
      <c r="C1" s="7" t="s">
        <v>7</v>
      </c>
      <c r="D1" s="7"/>
      <c r="E1" s="7"/>
      <c r="F1" s="7"/>
      <c r="H1" s="10" t="s">
        <v>9</v>
      </c>
      <c r="J1" s="8" t="s">
        <v>8</v>
      </c>
      <c r="K1" s="8"/>
      <c r="L1" s="8"/>
      <c r="M1" s="8"/>
    </row>
    <row r="3" spans="1:13">
      <c r="A3" s="1" t="s">
        <v>3</v>
      </c>
      <c r="B3" s="1"/>
      <c r="C3" s="1"/>
      <c r="D3" s="1" t="s">
        <v>0</v>
      </c>
      <c r="E3" s="1" t="s">
        <v>1</v>
      </c>
      <c r="F3" s="1" t="s">
        <v>2</v>
      </c>
      <c r="G3" s="2"/>
      <c r="H3" s="1" t="s">
        <v>4</v>
      </c>
      <c r="J3" s="1"/>
      <c r="K3" s="1" t="s">
        <v>0</v>
      </c>
      <c r="L3" s="1" t="s">
        <v>1</v>
      </c>
      <c r="M3" s="1" t="s">
        <v>2</v>
      </c>
    </row>
    <row r="4" spans="1:13">
      <c r="C4" s="3">
        <v>1</v>
      </c>
      <c r="D4">
        <v>0</v>
      </c>
      <c r="E4">
        <v>0</v>
      </c>
      <c r="F4">
        <v>0</v>
      </c>
      <c r="H4">
        <f>27*D20+6*E20-F20</f>
        <v>84.999999163699883</v>
      </c>
      <c r="J4" s="3">
        <v>1</v>
      </c>
      <c r="K4">
        <v>0</v>
      </c>
      <c r="L4">
        <v>0</v>
      </c>
      <c r="M4">
        <v>0</v>
      </c>
    </row>
    <row r="5" spans="1:13">
      <c r="C5" s="3">
        <v>2</v>
      </c>
      <c r="D5">
        <f>(1/27)*(85-6*E4+F4)</f>
        <v>3.1481481481481479</v>
      </c>
      <c r="E5">
        <f>(1/15)*(72-6*D4-2*F4)</f>
        <v>4.8</v>
      </c>
      <c r="F5">
        <f>(1/54)*(110-D4-6*E4)</f>
        <v>2.0370370370370368</v>
      </c>
      <c r="H5">
        <f>6*D20+15*E20+2*F20</f>
        <v>71.999999312912237</v>
      </c>
      <c r="J5" s="3">
        <v>2</v>
      </c>
      <c r="K5">
        <f>(1/27)*(85-6*L4+M4)</f>
        <v>3.1481481481481479</v>
      </c>
      <c r="L5">
        <f>(1/15)*(72-6*K5-2*M4)</f>
        <v>3.5407407407407407</v>
      </c>
      <c r="M5">
        <f>(1/54)*(110-K5-6*L5)</f>
        <v>1.5853223593964334</v>
      </c>
    </row>
    <row r="6" spans="1:13">
      <c r="C6" s="3">
        <v>3</v>
      </c>
      <c r="D6">
        <f t="shared" ref="D6:D19" si="0">(1/27)*(85-6*E5+F5)</f>
        <v>2.1569272976680383</v>
      </c>
      <c r="E6">
        <f t="shared" ref="E6:E20" si="1">(1/15)*(72-6*D5-2*F5)</f>
        <v>3.2691358024691359</v>
      </c>
      <c r="F6">
        <f t="shared" ref="F6:F19" si="2">(1/54)*(110-D5-6*E5)</f>
        <v>1.4454046639231823</v>
      </c>
      <c r="H6">
        <f>D20+6*E20+54*F20</f>
        <v>109.99999901123144</v>
      </c>
      <c r="J6" s="3">
        <v>3</v>
      </c>
      <c r="K6">
        <f t="shared" ref="K6:K20" si="3">(1/27)*(85-6*L5+M5)</f>
        <v>2.4200325153685922</v>
      </c>
      <c r="L6">
        <f t="shared" ref="L6:L20" si="4">(1/15)*(72-6*K6-2*M5)</f>
        <v>3.6206106792663721</v>
      </c>
      <c r="M6">
        <f t="shared" ref="M6:M20" si="5">(1/54)*(110-K6-6*L6)</f>
        <v>1.5899315446117253</v>
      </c>
    </row>
    <row r="7" spans="1:13">
      <c r="C7" s="3">
        <v>4</v>
      </c>
      <c r="D7">
        <f t="shared" si="0"/>
        <v>2.4752070314484578</v>
      </c>
      <c r="E7">
        <f t="shared" si="1"/>
        <v>3.7445084590763602</v>
      </c>
      <c r="F7">
        <f t="shared" si="2"/>
        <v>1.6338566275466138</v>
      </c>
      <c r="J7" s="3">
        <v>4</v>
      </c>
      <c r="K7">
        <f t="shared" si="3"/>
        <v>2.4024543507042035</v>
      </c>
      <c r="L7">
        <f t="shared" si="4"/>
        <v>3.6270273871034213</v>
      </c>
      <c r="M7">
        <f t="shared" si="5"/>
        <v>1.5895440986421345</v>
      </c>
    </row>
    <row r="8" spans="1:13">
      <c r="C8" s="3">
        <v>5</v>
      </c>
      <c r="D8">
        <f t="shared" si="0"/>
        <v>2.3765483656699429</v>
      </c>
      <c r="E8">
        <f t="shared" si="1"/>
        <v>3.5920696370810683</v>
      </c>
      <c r="F8">
        <f t="shared" si="2"/>
        <v>1.5751433743350625</v>
      </c>
      <c r="J8" s="3">
        <v>5</v>
      </c>
      <c r="K8">
        <f t="shared" si="3"/>
        <v>2.4010140657785777</v>
      </c>
      <c r="L8">
        <f t="shared" si="4"/>
        <v>3.6276551605362841</v>
      </c>
      <c r="M8">
        <f t="shared" si="5"/>
        <v>1.5895010179815503</v>
      </c>
    </row>
    <row r="9" spans="1:13">
      <c r="C9" s="3">
        <v>6</v>
      </c>
      <c r="D9">
        <f t="shared" si="0"/>
        <v>2.4082490945129127</v>
      </c>
      <c r="E9">
        <f t="shared" si="1"/>
        <v>3.6393615371540147</v>
      </c>
      <c r="F9">
        <f t="shared" si="2"/>
        <v>1.5939080335526601</v>
      </c>
      <c r="J9" s="4">
        <v>6</v>
      </c>
      <c r="K9" s="5">
        <f t="shared" si="3"/>
        <v>2.4008729649912537</v>
      </c>
      <c r="L9" s="5">
        <f t="shared" si="4"/>
        <v>3.6277173449392919</v>
      </c>
      <c r="M9" s="5">
        <f t="shared" si="5"/>
        <v>1.5894967215809814</v>
      </c>
    </row>
    <row r="10" spans="1:13">
      <c r="C10" s="3">
        <v>7</v>
      </c>
      <c r="D10">
        <f t="shared" si="0"/>
        <v>2.3984347707640215</v>
      </c>
      <c r="E10">
        <f t="shared" si="1"/>
        <v>3.6241792910544803</v>
      </c>
      <c r="F10">
        <f t="shared" si="2"/>
        <v>1.5880663274548703</v>
      </c>
      <c r="J10" s="4">
        <v>7</v>
      </c>
      <c r="K10" s="5">
        <f t="shared" si="3"/>
        <v>2.4008589871090824</v>
      </c>
      <c r="L10" s="5">
        <f t="shared" si="4"/>
        <v>3.6277235089455697</v>
      </c>
      <c r="M10" s="5">
        <f t="shared" si="5"/>
        <v>1.5894962955410648</v>
      </c>
    </row>
    <row r="11" spans="1:13">
      <c r="A11" s="1" t="s">
        <v>5</v>
      </c>
      <c r="B11" s="1"/>
      <c r="C11" s="3">
        <v>8</v>
      </c>
      <c r="D11">
        <f t="shared" si="0"/>
        <v>2.4015922437454811</v>
      </c>
      <c r="E11">
        <f t="shared" si="1"/>
        <v>3.6288839147004084</v>
      </c>
      <c r="F11">
        <f t="shared" si="2"/>
        <v>1.5899349904242424</v>
      </c>
      <c r="J11" s="3">
        <v>8</v>
      </c>
      <c r="K11">
        <f t="shared" si="3"/>
        <v>2.4008576015506535</v>
      </c>
      <c r="L11">
        <f t="shared" si="4"/>
        <v>3.6277241199742631</v>
      </c>
      <c r="M11">
        <f t="shared" si="5"/>
        <v>1.589496253307477</v>
      </c>
    </row>
    <row r="12" spans="1:13">
      <c r="C12" s="3">
        <v>9</v>
      </c>
      <c r="D12">
        <f t="shared" si="0"/>
        <v>2.40061598156377</v>
      </c>
      <c r="E12">
        <f t="shared" si="1"/>
        <v>3.6273717704452419</v>
      </c>
      <c r="F12">
        <f t="shared" si="2"/>
        <v>1.5893537827417048</v>
      </c>
      <c r="J12" s="3">
        <v>9</v>
      </c>
      <c r="K12">
        <f t="shared" si="3"/>
        <v>2.4008574642022924</v>
      </c>
      <c r="L12">
        <f t="shared" si="4"/>
        <v>3.6277241805447531</v>
      </c>
      <c r="M12">
        <f t="shared" si="5"/>
        <v>1.5894962491209108</v>
      </c>
    </row>
    <row r="13" spans="1:13">
      <c r="C13" s="3">
        <v>10</v>
      </c>
      <c r="D13">
        <f t="shared" si="0"/>
        <v>2.4009304874100095</v>
      </c>
      <c r="E13">
        <f t="shared" si="1"/>
        <v>3.6278397696755982</v>
      </c>
      <c r="F13">
        <f t="shared" si="2"/>
        <v>1.5895398776993477</v>
      </c>
      <c r="J13" s="3">
        <v>10</v>
      </c>
      <c r="K13">
        <f t="shared" si="3"/>
        <v>2.4008574505871256</v>
      </c>
      <c r="L13">
        <f t="shared" si="4"/>
        <v>3.6277241865490288</v>
      </c>
      <c r="M13">
        <f t="shared" si="5"/>
        <v>1.5894962487059019</v>
      </c>
    </row>
    <row r="14" spans="1:13">
      <c r="C14" s="3">
        <v>11</v>
      </c>
      <c r="D14">
        <f t="shared" si="0"/>
        <v>2.4008333799868797</v>
      </c>
      <c r="E14">
        <f t="shared" si="1"/>
        <v>3.6276891546760832</v>
      </c>
      <c r="F14">
        <f t="shared" si="2"/>
        <v>1.5894820536025258</v>
      </c>
      <c r="J14" s="3">
        <v>11</v>
      </c>
      <c r="K14">
        <f t="shared" si="3"/>
        <v>2.400857449237471</v>
      </c>
      <c r="L14">
        <f t="shared" si="4"/>
        <v>3.6277241871442247</v>
      </c>
      <c r="M14">
        <f t="shared" si="5"/>
        <v>1.5894962486647624</v>
      </c>
    </row>
    <row r="15" spans="1:13">
      <c r="C15" s="3">
        <v>12</v>
      </c>
      <c r="D15">
        <f t="shared" si="0"/>
        <v>2.4008647083535561</v>
      </c>
      <c r="E15">
        <f t="shared" si="1"/>
        <v>3.627735707524911</v>
      </c>
      <c r="F15">
        <f t="shared" si="2"/>
        <v>1.5895005868880854</v>
      </c>
      <c r="J15" s="3">
        <v>12</v>
      </c>
      <c r="K15">
        <f t="shared" si="3"/>
        <v>2.400857449103682</v>
      </c>
      <c r="L15">
        <f t="shared" si="4"/>
        <v>3.6277241872032255</v>
      </c>
      <c r="M15">
        <f t="shared" si="5"/>
        <v>1.5894962486606845</v>
      </c>
    </row>
    <row r="16" spans="1:13">
      <c r="C16" s="4">
        <v>13</v>
      </c>
      <c r="D16" s="5">
        <f t="shared" si="0"/>
        <v>2.4008550496940226</v>
      </c>
      <c r="E16" s="5">
        <f t="shared" si="1"/>
        <v>3.6277207050734992</v>
      </c>
      <c r="F16" s="5">
        <f t="shared" si="2"/>
        <v>1.5894948341943884</v>
      </c>
      <c r="J16" s="3">
        <v>13</v>
      </c>
      <c r="K16">
        <f t="shared" si="3"/>
        <v>2.4008574490904193</v>
      </c>
      <c r="L16">
        <f t="shared" si="4"/>
        <v>3.6277241872090746</v>
      </c>
      <c r="M16">
        <f t="shared" si="5"/>
        <v>1.5894962486602799</v>
      </c>
    </row>
    <row r="17" spans="3:13">
      <c r="C17" s="4">
        <v>14</v>
      </c>
      <c r="D17" s="5">
        <f t="shared" si="0"/>
        <v>2.4008581705093848</v>
      </c>
      <c r="E17" s="5">
        <f t="shared" si="1"/>
        <v>3.6277253355631385</v>
      </c>
      <c r="F17" s="5">
        <f t="shared" si="2"/>
        <v>1.5894966799974999</v>
      </c>
      <c r="J17" s="3">
        <v>14</v>
      </c>
      <c r="K17">
        <f t="shared" si="3"/>
        <v>2.4008574490891048</v>
      </c>
      <c r="L17">
        <f t="shared" si="4"/>
        <v>3.6277241872096542</v>
      </c>
      <c r="M17">
        <f t="shared" si="5"/>
        <v>1.5894962486602402</v>
      </c>
    </row>
    <row r="18" spans="3:13">
      <c r="C18" s="3">
        <v>15</v>
      </c>
      <c r="D18">
        <f t="shared" si="0"/>
        <v>2.4008572098747649</v>
      </c>
      <c r="E18">
        <f t="shared" si="1"/>
        <v>3.6277238411299129</v>
      </c>
      <c r="F18">
        <f t="shared" si="2"/>
        <v>1.5894961077057737</v>
      </c>
      <c r="J18" s="3">
        <v>15</v>
      </c>
      <c r="K18">
        <f t="shared" si="3"/>
        <v>2.4008574490889747</v>
      </c>
      <c r="L18">
        <f t="shared" si="4"/>
        <v>3.6277241872097115</v>
      </c>
      <c r="M18">
        <f t="shared" si="5"/>
        <v>1.5894962486602362</v>
      </c>
    </row>
    <row r="19" spans="3:13">
      <c r="C19" s="3">
        <v>16</v>
      </c>
      <c r="D19">
        <f t="shared" si="0"/>
        <v>2.4008575207750482</v>
      </c>
      <c r="E19">
        <f t="shared" si="1"/>
        <v>3.6277243016893244</v>
      </c>
      <c r="F19">
        <f t="shared" si="2"/>
        <v>1.5894962915434399</v>
      </c>
      <c r="J19" s="3">
        <v>16</v>
      </c>
      <c r="K19">
        <f t="shared" si="3"/>
        <v>2.4008574490889614</v>
      </c>
      <c r="L19">
        <f t="shared" si="4"/>
        <v>3.6277241872097172</v>
      </c>
      <c r="M19">
        <f t="shared" si="5"/>
        <v>1.5894962486602358</v>
      </c>
    </row>
    <row r="20" spans="3:13">
      <c r="C20" s="3">
        <v>17</v>
      </c>
      <c r="D20">
        <f t="shared" ref="D20" si="6">(1/27)*(85-6*E19+F19)</f>
        <v>2.4008574252373145</v>
      </c>
      <c r="E20">
        <f t="shared" si="1"/>
        <v>3.6277241528175219</v>
      </c>
      <c r="F20">
        <f t="shared" ref="F20" si="7">(1/54)*(110-D19-6*E19)</f>
        <v>1.5894962346127592</v>
      </c>
      <c r="J20" s="3">
        <v>17</v>
      </c>
      <c r="K20">
        <f t="shared" si="3"/>
        <v>2.4008574490889605</v>
      </c>
      <c r="L20">
        <f t="shared" si="4"/>
        <v>3.6277241872097177</v>
      </c>
      <c r="M20">
        <f t="shared" si="5"/>
        <v>1.5894962486602358</v>
      </c>
    </row>
  </sheetData>
  <mergeCells count="2">
    <mergeCell ref="C1:F1"/>
    <mergeCell ref="J1:M1"/>
  </mergeCells>
  <pageMargins left="0.7" right="0.7" top="0.75" bottom="0.75" header="0.3" footer="0.3"/>
  <legacyDrawing r:id="rId1"/>
  <oleObjects>
    <oleObject progId="Equation.DSMT4" shapeId="1025" r:id="rId2"/>
    <oleObject progId="Equation.DSMT4" shapeId="1026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2020-12-14T12:51:37Z</dcterms:created>
  <dcterms:modified xsi:type="dcterms:W3CDTF">2020-12-16T12:09:35Z</dcterms:modified>
</cp:coreProperties>
</file>