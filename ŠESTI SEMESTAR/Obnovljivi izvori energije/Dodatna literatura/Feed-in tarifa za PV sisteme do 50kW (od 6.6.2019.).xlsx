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5150" windowHeight="7590"/>
  </bookViews>
  <sheets>
    <sheet name="Njihova metodologija" sheetId="2" r:id="rId1"/>
    <sheet name="Moja metodologija" sheetId="1" r:id="rId2"/>
  </sheets>
  <definedNames>
    <definedName name="solver_adj" localSheetId="1" hidden="1">'Moja metodologija'!$C$9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'Moja metodologija'!$K$10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3</definedName>
    <definedName name="solver_val" localSheetId="1" hidden="1">0.1466</definedName>
  </definedNames>
  <calcPr calcId="125725" iterateDelta="0"/>
</workbook>
</file>

<file path=xl/calcChain.xml><?xml version="1.0" encoding="utf-8"?>
<calcChain xmlns="http://schemas.openxmlformats.org/spreadsheetml/2006/main">
  <c r="G8" i="2"/>
  <c r="G6"/>
  <c r="G5"/>
  <c r="G4"/>
  <c r="K4" l="1"/>
  <c r="K5" s="1"/>
  <c r="K8" s="1"/>
  <c r="K9" s="1"/>
  <c r="G4" i="1"/>
  <c r="K5" s="1"/>
  <c r="G6"/>
  <c r="G5"/>
  <c r="K4" l="1"/>
  <c r="K7" s="1"/>
  <c r="K9" s="1"/>
  <c r="K10" s="1"/>
</calcChain>
</file>

<file path=xl/sharedStrings.xml><?xml version="1.0" encoding="utf-8"?>
<sst xmlns="http://schemas.openxmlformats.org/spreadsheetml/2006/main" count="61" uniqueCount="29">
  <si>
    <t>Inv. troškovi</t>
  </si>
  <si>
    <t>Snaga</t>
  </si>
  <si>
    <t>kW</t>
  </si>
  <si>
    <t>€/kW</t>
  </si>
  <si>
    <t>Sati rada</t>
  </si>
  <si>
    <t>h/god</t>
  </si>
  <si>
    <t>Proizvodnja</t>
  </si>
  <si>
    <t>kWh/god</t>
  </si>
  <si>
    <t>Održavanje</t>
  </si>
  <si>
    <t>€/god</t>
  </si>
  <si>
    <t>Investicija</t>
  </si>
  <si>
    <t>€</t>
  </si>
  <si>
    <t>Rata kredita</t>
  </si>
  <si>
    <t>Period kredita</t>
  </si>
  <si>
    <t>god</t>
  </si>
  <si>
    <t>Kamata kredita</t>
  </si>
  <si>
    <t>Prinos</t>
  </si>
  <si>
    <t>Godišnji prinos</t>
  </si>
  <si>
    <t>Učešće</t>
  </si>
  <si>
    <t>Godišnji rashod</t>
  </si>
  <si>
    <t>Cijena energije</t>
  </si>
  <si>
    <t>Nezavisne ulazne promjenljive</t>
  </si>
  <si>
    <t>Zavisne ulazne promjenljive</t>
  </si>
  <si>
    <t>Troškovi održavanja</t>
  </si>
  <si>
    <t>€/kWh</t>
  </si>
  <si>
    <t>KM/kWh</t>
  </si>
  <si>
    <t>Rezultati</t>
  </si>
  <si>
    <t>Kredit i dobit</t>
  </si>
  <si>
    <t>Ponderisana kamatna stopa</t>
  </si>
</sst>
</file>

<file path=xl/styles.xml><?xml version="1.0" encoding="utf-8"?>
<styleSheet xmlns="http://schemas.openxmlformats.org/spreadsheetml/2006/main">
  <numFmts count="2">
    <numFmt numFmtId="164" formatCode="0.000%"/>
    <numFmt numFmtId="165" formatCode="0.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0" fontId="0" fillId="3" borderId="1" xfId="0" applyNumberFormat="1" applyFill="1" applyBorder="1"/>
    <xf numFmtId="9" fontId="0" fillId="3" borderId="1" xfId="0" applyNumberFormat="1" applyFill="1" applyBorder="1"/>
    <xf numFmtId="0" fontId="1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0" fontId="0" fillId="6" borderId="1" xfId="0" applyNumberFormat="1" applyFill="1" applyBorder="1"/>
    <xf numFmtId="164" fontId="0" fillId="0" borderId="0" xfId="0" applyNumberFormat="1"/>
    <xf numFmtId="10" fontId="0" fillId="7" borderId="1" xfId="0" applyNumberFormat="1" applyFill="1" applyBorder="1"/>
    <xf numFmtId="165" fontId="0" fillId="6" borderId="1" xfId="0" applyNumberFormat="1" applyFill="1" applyBorder="1"/>
    <xf numFmtId="165" fontId="2" fillId="6" borderId="1" xfId="0" applyNumberFormat="1" applyFont="1" applyFill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17"/>
  <sheetViews>
    <sheetView tabSelected="1" workbookViewId="0">
      <selection activeCell="O14" sqref="O14"/>
    </sheetView>
  </sheetViews>
  <sheetFormatPr defaultRowHeight="15"/>
  <cols>
    <col min="1" max="1" width="4.42578125" customWidth="1"/>
    <col min="2" max="2" width="14.42578125" customWidth="1"/>
    <col min="3" max="3" width="7.140625" bestFit="1" customWidth="1"/>
    <col min="5" max="5" width="4.5703125" customWidth="1"/>
    <col min="6" max="6" width="26.42578125" bestFit="1" customWidth="1"/>
    <col min="7" max="7" width="8.140625" bestFit="1" customWidth="1"/>
    <col min="9" max="9" width="5.140625" customWidth="1"/>
    <col min="10" max="10" width="14.85546875" bestFit="1" customWidth="1"/>
    <col min="11" max="11" width="12" bestFit="1" customWidth="1"/>
  </cols>
  <sheetData>
    <row r="2" spans="2:12">
      <c r="B2" s="6" t="s">
        <v>21</v>
      </c>
      <c r="F2" s="6" t="s">
        <v>22</v>
      </c>
      <c r="J2" s="6" t="s">
        <v>26</v>
      </c>
    </row>
    <row r="4" spans="2:12">
      <c r="B4" s="3" t="s">
        <v>1</v>
      </c>
      <c r="C4" s="2">
        <v>50</v>
      </c>
      <c r="D4" s="2" t="s">
        <v>2</v>
      </c>
      <c r="F4" s="7" t="s">
        <v>0</v>
      </c>
      <c r="G4" s="9">
        <f>C4*C5</f>
        <v>50000</v>
      </c>
      <c r="H4" s="9" t="s">
        <v>11</v>
      </c>
      <c r="J4" s="1" t="s">
        <v>27</v>
      </c>
      <c r="K4" s="10">
        <f>-PMT(G8,15,G4)</f>
        <v>5664.3618127095187</v>
      </c>
      <c r="L4" s="8" t="s">
        <v>9</v>
      </c>
    </row>
    <row r="5" spans="2:12">
      <c r="B5" s="3" t="s">
        <v>10</v>
      </c>
      <c r="C5" s="2">
        <v>1000</v>
      </c>
      <c r="D5" s="2" t="s">
        <v>3</v>
      </c>
      <c r="F5" s="7" t="s">
        <v>6</v>
      </c>
      <c r="G5" s="9">
        <f>C4*C6</f>
        <v>68500</v>
      </c>
      <c r="H5" s="9" t="s">
        <v>7</v>
      </c>
      <c r="J5" s="1" t="s">
        <v>19</v>
      </c>
      <c r="K5" s="10">
        <f>K4+G6</f>
        <v>7672.8618127095187</v>
      </c>
      <c r="L5" s="8" t="s">
        <v>9</v>
      </c>
    </row>
    <row r="6" spans="2:12">
      <c r="B6" s="3" t="s">
        <v>4</v>
      </c>
      <c r="C6" s="2">
        <v>1370</v>
      </c>
      <c r="D6" s="2" t="s">
        <v>5</v>
      </c>
      <c r="F6" s="7" t="s">
        <v>23</v>
      </c>
      <c r="G6" s="9">
        <f>C7*C4</f>
        <v>2008.5</v>
      </c>
      <c r="H6" s="9" t="s">
        <v>9</v>
      </c>
      <c r="J6" s="1"/>
      <c r="K6" s="8"/>
      <c r="L6" s="8"/>
    </row>
    <row r="7" spans="2:12">
      <c r="B7" s="3" t="s">
        <v>8</v>
      </c>
      <c r="C7" s="2">
        <v>40.17</v>
      </c>
      <c r="D7" s="2" t="s">
        <v>3</v>
      </c>
    </row>
    <row r="8" spans="2:12">
      <c r="B8" s="3" t="s">
        <v>13</v>
      </c>
      <c r="C8" s="2">
        <v>15</v>
      </c>
      <c r="D8" s="2" t="s">
        <v>14</v>
      </c>
      <c r="F8" s="7" t="s">
        <v>28</v>
      </c>
      <c r="G8" s="12">
        <f>C11*C10+(1-C11)*C9</f>
        <v>7.5000000000000011E-2</v>
      </c>
      <c r="H8" s="9"/>
      <c r="J8" s="1" t="s">
        <v>20</v>
      </c>
      <c r="K8" s="13">
        <f>K5/G5</f>
        <v>0.11201258120743823</v>
      </c>
      <c r="L8" s="8" t="s">
        <v>24</v>
      </c>
    </row>
    <row r="9" spans="2:12">
      <c r="B9" s="3" t="s">
        <v>15</v>
      </c>
      <c r="C9" s="4">
        <v>0.06</v>
      </c>
      <c r="D9" s="2"/>
      <c r="J9" s="1"/>
      <c r="K9" s="14">
        <f>K8*1.95583</f>
        <v>0.21907756670294393</v>
      </c>
      <c r="L9" s="15" t="s">
        <v>25</v>
      </c>
    </row>
    <row r="10" spans="2:12">
      <c r="B10" s="3" t="s">
        <v>16</v>
      </c>
      <c r="C10" s="4">
        <v>0.13500000000000001</v>
      </c>
      <c r="D10" s="2"/>
    </row>
    <row r="11" spans="2:12">
      <c r="B11" s="3" t="s">
        <v>18</v>
      </c>
      <c r="C11" s="5">
        <v>0.2</v>
      </c>
      <c r="D11" s="2"/>
    </row>
    <row r="17" spans="13:13">
      <c r="M17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M17"/>
  <sheetViews>
    <sheetView workbookViewId="0">
      <selection activeCell="K16" sqref="K16"/>
    </sheetView>
  </sheetViews>
  <sheetFormatPr defaultRowHeight="15"/>
  <cols>
    <col min="1" max="1" width="4.42578125" customWidth="1"/>
    <col min="2" max="2" width="14.42578125" customWidth="1"/>
    <col min="3" max="3" width="7.140625" bestFit="1" customWidth="1"/>
    <col min="5" max="5" width="4.5703125" customWidth="1"/>
    <col min="6" max="6" width="18.42578125" customWidth="1"/>
    <col min="7" max="7" width="7" bestFit="1" customWidth="1"/>
    <col min="9" max="9" width="5.140625" customWidth="1"/>
    <col min="10" max="10" width="14.85546875" bestFit="1" customWidth="1"/>
    <col min="11" max="11" width="12" bestFit="1" customWidth="1"/>
  </cols>
  <sheetData>
    <row r="2" spans="2:12">
      <c r="B2" s="6" t="s">
        <v>21</v>
      </c>
      <c r="F2" s="6" t="s">
        <v>22</v>
      </c>
      <c r="J2" s="6" t="s">
        <v>26</v>
      </c>
    </row>
    <row r="4" spans="2:12">
      <c r="B4" s="3" t="s">
        <v>1</v>
      </c>
      <c r="C4" s="2">
        <v>50</v>
      </c>
      <c r="D4" s="2" t="s">
        <v>2</v>
      </c>
      <c r="F4" s="7" t="s">
        <v>0</v>
      </c>
      <c r="G4" s="9">
        <f>C4*C5</f>
        <v>50000</v>
      </c>
      <c r="H4" s="9" t="s">
        <v>11</v>
      </c>
      <c r="J4" s="1" t="s">
        <v>17</v>
      </c>
      <c r="K4" s="10">
        <f>G4*C11*C10</f>
        <v>1350</v>
      </c>
      <c r="L4" s="8" t="s">
        <v>9</v>
      </c>
    </row>
    <row r="5" spans="2:12">
      <c r="B5" s="3" t="s">
        <v>10</v>
      </c>
      <c r="C5" s="2">
        <v>1000</v>
      </c>
      <c r="D5" s="2" t="s">
        <v>3</v>
      </c>
      <c r="F5" s="7" t="s">
        <v>6</v>
      </c>
      <c r="G5" s="9">
        <f>C4*C6</f>
        <v>68500</v>
      </c>
      <c r="H5" s="9" t="s">
        <v>7</v>
      </c>
      <c r="J5" s="1" t="s">
        <v>12</v>
      </c>
      <c r="K5" s="10">
        <f>-PMT(C9,C8,(1-C11)*G4)</f>
        <v>4118.5105582125043</v>
      </c>
      <c r="L5" s="8" t="s">
        <v>9</v>
      </c>
    </row>
    <row r="6" spans="2:12">
      <c r="B6" s="3" t="s">
        <v>4</v>
      </c>
      <c r="C6" s="2">
        <v>1370</v>
      </c>
      <c r="D6" s="2" t="s">
        <v>5</v>
      </c>
      <c r="F6" s="7" t="s">
        <v>23</v>
      </c>
      <c r="G6" s="9">
        <f>C7*C4</f>
        <v>2008.5</v>
      </c>
      <c r="H6" s="9" t="s">
        <v>9</v>
      </c>
      <c r="J6" s="1"/>
      <c r="K6" s="8"/>
      <c r="L6" s="8"/>
    </row>
    <row r="7" spans="2:12">
      <c r="B7" s="3" t="s">
        <v>8</v>
      </c>
      <c r="C7" s="2">
        <v>40.17</v>
      </c>
      <c r="D7" s="2" t="s">
        <v>3</v>
      </c>
      <c r="J7" s="1" t="s">
        <v>19</v>
      </c>
      <c r="K7" s="10">
        <f>K5+K4+G6</f>
        <v>7477.0105582125043</v>
      </c>
      <c r="L7" s="8" t="s">
        <v>9</v>
      </c>
    </row>
    <row r="8" spans="2:12">
      <c r="B8" s="3" t="s">
        <v>13</v>
      </c>
      <c r="C8" s="2">
        <v>15</v>
      </c>
      <c r="D8" s="2" t="s">
        <v>14</v>
      </c>
      <c r="J8" s="1"/>
      <c r="K8" s="8"/>
      <c r="L8" s="8"/>
    </row>
    <row r="9" spans="2:12">
      <c r="B9" s="3" t="s">
        <v>15</v>
      </c>
      <c r="C9" s="4">
        <v>0.06</v>
      </c>
      <c r="D9" s="2"/>
      <c r="J9" s="1" t="s">
        <v>20</v>
      </c>
      <c r="K9" s="13">
        <f>K7/G5</f>
        <v>0.10915343880602196</v>
      </c>
      <c r="L9" s="8" t="s">
        <v>24</v>
      </c>
    </row>
    <row r="10" spans="2:12">
      <c r="B10" s="3" t="s">
        <v>16</v>
      </c>
      <c r="C10" s="4">
        <v>0.13500000000000001</v>
      </c>
      <c r="D10" s="2"/>
      <c r="J10" s="1"/>
      <c r="K10" s="14">
        <f>K9*1.95583</f>
        <v>0.21348557021998193</v>
      </c>
      <c r="L10" s="15" t="s">
        <v>25</v>
      </c>
    </row>
    <row r="11" spans="2:12">
      <c r="B11" s="3" t="s">
        <v>18</v>
      </c>
      <c r="C11" s="5">
        <v>0.2</v>
      </c>
      <c r="D11" s="2"/>
    </row>
    <row r="17" spans="13:13">
      <c r="M17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Njihova metodologija</vt:lpstr>
      <vt:lpstr>Moja metodologija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2017-03-24T08:50:46Z</dcterms:created>
  <dcterms:modified xsi:type="dcterms:W3CDTF">2020-04-13T15:14:01Z</dcterms:modified>
</cp:coreProperties>
</file>