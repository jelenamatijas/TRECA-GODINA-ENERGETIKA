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7235" windowHeight="6225"/>
  </bookViews>
  <sheets>
    <sheet name="Sheet1" sheetId="1" r:id="rId1"/>
    <sheet name="Sheet2" sheetId="2" r:id="rId2"/>
    <sheet name="Sheet3" sheetId="3" r:id="rId3"/>
  </sheets>
  <definedNames>
    <definedName name="solver_adj" localSheetId="0" hidden="1">Sheet1!$A$44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Sheet1!$D$44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44525"/>
</workbook>
</file>

<file path=xl/calcChain.xml><?xml version="1.0" encoding="utf-8"?>
<calcChain xmlns="http://schemas.openxmlformats.org/spreadsheetml/2006/main">
  <c r="R8" i="1" l="1"/>
  <c r="R7" i="1"/>
  <c r="M8" i="1"/>
  <c r="N8" i="1"/>
  <c r="O8" i="1"/>
  <c r="P8" i="1"/>
  <c r="Q8" i="1"/>
  <c r="L8" i="1"/>
  <c r="M7" i="1"/>
  <c r="N7" i="1"/>
  <c r="O7" i="1"/>
  <c r="P7" i="1"/>
  <c r="Q7" i="1"/>
  <c r="L7" i="1"/>
  <c r="C52" i="1"/>
  <c r="B52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15" i="1"/>
  <c r="G8" i="1"/>
  <c r="D21" i="1" s="1"/>
  <c r="E21" i="1" s="1"/>
  <c r="F21" i="1" s="1"/>
  <c r="H21" i="1" s="1"/>
  <c r="G4" i="1"/>
  <c r="G3" i="1"/>
  <c r="G2" i="1"/>
  <c r="D52" i="1" l="1"/>
  <c r="E52" i="1" s="1"/>
  <c r="F52" i="1" s="1"/>
  <c r="H52" i="1" s="1"/>
  <c r="G21" i="1"/>
  <c r="D37" i="1"/>
  <c r="D29" i="1"/>
  <c r="D17" i="1"/>
  <c r="D44" i="1"/>
  <c r="D40" i="1"/>
  <c r="D36" i="1"/>
  <c r="D32" i="1"/>
  <c r="D28" i="1"/>
  <c r="D24" i="1"/>
  <c r="D20" i="1"/>
  <c r="D16" i="1"/>
  <c r="D41" i="1"/>
  <c r="D25" i="1"/>
  <c r="D43" i="1"/>
  <c r="D39" i="1"/>
  <c r="D35" i="1"/>
  <c r="D31" i="1"/>
  <c r="D27" i="1"/>
  <c r="D23" i="1"/>
  <c r="D19" i="1"/>
  <c r="D42" i="1"/>
  <c r="D38" i="1"/>
  <c r="D34" i="1"/>
  <c r="D30" i="1"/>
  <c r="D26" i="1"/>
  <c r="D22" i="1"/>
  <c r="D18" i="1"/>
  <c r="D33" i="1"/>
  <c r="D15" i="1"/>
  <c r="G52" i="1" l="1"/>
  <c r="E18" i="1"/>
  <c r="F18" i="1" s="1"/>
  <c r="H18" i="1" s="1"/>
  <c r="E16" i="1"/>
  <c r="F16" i="1" s="1"/>
  <c r="H16" i="1" s="1"/>
  <c r="E15" i="1"/>
  <c r="F15" i="1" s="1"/>
  <c r="H15" i="1" s="1"/>
  <c r="E22" i="1"/>
  <c r="F22" i="1" s="1"/>
  <c r="H22" i="1" s="1"/>
  <c r="E38" i="1"/>
  <c r="F38" i="1" s="1"/>
  <c r="H38" i="1" s="1"/>
  <c r="E27" i="1"/>
  <c r="F27" i="1" s="1"/>
  <c r="H27" i="1" s="1"/>
  <c r="E43" i="1"/>
  <c r="F43" i="1" s="1"/>
  <c r="H43" i="1" s="1"/>
  <c r="E20" i="1"/>
  <c r="F20" i="1" s="1"/>
  <c r="H20" i="1" s="1"/>
  <c r="E36" i="1"/>
  <c r="F36" i="1" s="1"/>
  <c r="H36" i="1" s="1"/>
  <c r="E29" i="1"/>
  <c r="F29" i="1" s="1"/>
  <c r="H29" i="1" s="1"/>
  <c r="E34" i="1"/>
  <c r="F34" i="1" s="1"/>
  <c r="H34" i="1" s="1"/>
  <c r="E39" i="1"/>
  <c r="F39" i="1" s="1"/>
  <c r="H39" i="1" s="1"/>
  <c r="E17" i="1"/>
  <c r="F17" i="1" s="1"/>
  <c r="H17" i="1" s="1"/>
  <c r="E42" i="1"/>
  <c r="F42" i="1" s="1"/>
  <c r="H42" i="1" s="1"/>
  <c r="E31" i="1"/>
  <c r="F31" i="1" s="1"/>
  <c r="H31" i="1" s="1"/>
  <c r="E24" i="1"/>
  <c r="F24" i="1" s="1"/>
  <c r="H24" i="1" s="1"/>
  <c r="E40" i="1"/>
  <c r="F40" i="1" s="1"/>
  <c r="H40" i="1" s="1"/>
  <c r="E37" i="1"/>
  <c r="F37" i="1" s="1"/>
  <c r="H37" i="1" s="1"/>
  <c r="E23" i="1"/>
  <c r="F23" i="1" s="1"/>
  <c r="H23" i="1" s="1"/>
  <c r="E32" i="1"/>
  <c r="F32" i="1" s="1"/>
  <c r="H32" i="1" s="1"/>
  <c r="E26" i="1"/>
  <c r="F26" i="1" s="1"/>
  <c r="H26" i="1" s="1"/>
  <c r="E25" i="1"/>
  <c r="F25" i="1" s="1"/>
  <c r="H25" i="1" s="1"/>
  <c r="E33" i="1"/>
  <c r="F33" i="1" s="1"/>
  <c r="H33" i="1" s="1"/>
  <c r="E30" i="1"/>
  <c r="F30" i="1" s="1"/>
  <c r="H30" i="1" s="1"/>
  <c r="E19" i="1"/>
  <c r="F19" i="1" s="1"/>
  <c r="H19" i="1" s="1"/>
  <c r="E35" i="1"/>
  <c r="F35" i="1" s="1"/>
  <c r="H35" i="1" s="1"/>
  <c r="E41" i="1"/>
  <c r="F41" i="1" s="1"/>
  <c r="H41" i="1" s="1"/>
  <c r="E28" i="1"/>
  <c r="F28" i="1" s="1"/>
  <c r="H28" i="1" s="1"/>
  <c r="E44" i="1"/>
  <c r="F44" i="1" s="1"/>
  <c r="H44" i="1" s="1"/>
  <c r="G15" i="1" l="1"/>
  <c r="G37" i="1"/>
  <c r="G24" i="1"/>
  <c r="G30" i="1"/>
  <c r="G32" i="1"/>
  <c r="G38" i="1"/>
  <c r="G34" i="1"/>
  <c r="G43" i="1"/>
  <c r="G25" i="1"/>
  <c r="G42" i="1"/>
  <c r="G36" i="1"/>
  <c r="G18" i="1"/>
  <c r="G35" i="1"/>
  <c r="G44" i="1"/>
  <c r="G41" i="1"/>
  <c r="G19" i="1"/>
  <c r="G33" i="1"/>
  <c r="G26" i="1"/>
  <c r="G23" i="1"/>
  <c r="G40" i="1"/>
  <c r="G31" i="1"/>
  <c r="G39" i="1"/>
  <c r="G29" i="1"/>
  <c r="G20" i="1"/>
  <c r="G27" i="1"/>
  <c r="G22" i="1"/>
  <c r="G16" i="1"/>
  <c r="G28" i="1"/>
  <c r="G17" i="1"/>
</calcChain>
</file>

<file path=xl/sharedStrings.xml><?xml version="1.0" encoding="utf-8"?>
<sst xmlns="http://schemas.openxmlformats.org/spreadsheetml/2006/main" count="51" uniqueCount="37">
  <si>
    <t>Podaci (STC)</t>
  </si>
  <si>
    <t>Iks</t>
  </si>
  <si>
    <t>A</t>
  </si>
  <si>
    <t>N</t>
  </si>
  <si>
    <t>Rp</t>
  </si>
  <si>
    <t>Ω</t>
  </si>
  <si>
    <t>Rs</t>
  </si>
  <si>
    <t>R</t>
  </si>
  <si>
    <t>Uok</t>
  </si>
  <si>
    <t>V</t>
  </si>
  <si>
    <t>T</t>
  </si>
  <si>
    <t>k</t>
  </si>
  <si>
    <t>J/K</t>
  </si>
  <si>
    <t>q</t>
  </si>
  <si>
    <t>C</t>
  </si>
  <si>
    <t>Proračun</t>
  </si>
  <si>
    <t>Io</t>
  </si>
  <si>
    <t>Ud</t>
  </si>
  <si>
    <t>Gk</t>
  </si>
  <si>
    <t>Am^2/W</t>
  </si>
  <si>
    <t>G1</t>
  </si>
  <si>
    <t>W/m^2</t>
  </si>
  <si>
    <t>Ik1</t>
  </si>
  <si>
    <t>Id</t>
  </si>
  <si>
    <t>Ir</t>
  </si>
  <si>
    <t>I</t>
  </si>
  <si>
    <t>U</t>
  </si>
  <si>
    <t>Umod</t>
  </si>
  <si>
    <t>Pmod</t>
  </si>
  <si>
    <t>G [W/m^2]</t>
  </si>
  <si>
    <t>Pp [W]</t>
  </si>
  <si>
    <t>Pmppt [W]</t>
  </si>
  <si>
    <t>Period</t>
  </si>
  <si>
    <t>Wp [Wh]</t>
  </si>
  <si>
    <t>Wmppt [Wh]</t>
  </si>
  <si>
    <t>Ukupna energija [Wh]</t>
  </si>
  <si>
    <t>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</si>
</sst>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00"/>
  </numFmts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/>
    <xf numFmtId="168" fontId="1" fillId="0" borderId="1" xfId="0" applyNumberFormat="1" applyFont="1" applyBorder="1"/>
    <xf numFmtId="11" fontId="1" fillId="0" borderId="1" xfId="0" applyNumberFormat="1" applyFont="1" applyBorder="1" applyAlignment="1"/>
    <xf numFmtId="0" fontId="1" fillId="0" borderId="0" xfId="0" applyFont="1" applyAlignment="1">
      <alignment horizontal="center" vertical="center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sr-Latn-BA"/>
              <a:t>I-U karakteristika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Sheet1!$F$14</c:f>
              <c:strCache>
                <c:ptCount val="1"/>
                <c:pt idx="0">
                  <c:v>Umod</c:v>
                </c:pt>
              </c:strCache>
            </c:strRef>
          </c:tx>
          <c:marker>
            <c:symbol val="none"/>
          </c:marker>
          <c:xVal>
            <c:numRef>
              <c:f>Sheet1!$F$15:$F$45</c:f>
              <c:numCache>
                <c:formatCode>General</c:formatCode>
                <c:ptCount val="31"/>
                <c:pt idx="0">
                  <c:v>4.3436054949330671E-5</c:v>
                </c:pt>
                <c:pt idx="1">
                  <c:v>0.32249032288382418</c:v>
                </c:pt>
                <c:pt idx="2">
                  <c:v>1.0435354846262961</c:v>
                </c:pt>
                <c:pt idx="3">
                  <c:v>1.7645806469007463</c:v>
                </c:pt>
                <c:pt idx="4">
                  <c:v>2.4856258103330764</c:v>
                </c:pt>
                <c:pt idx="5">
                  <c:v>3.2066709762855927</c:v>
                </c:pt>
                <c:pt idx="6">
                  <c:v>3.9277161477234341</c:v>
                </c:pt>
                <c:pt idx="7">
                  <c:v>4.6487613311003795</c:v>
                </c:pt>
                <c:pt idx="8">
                  <c:v>5.3698065404634292</c:v>
                </c:pt>
                <c:pt idx="9">
                  <c:v>6.0908518063866479</c:v>
                </c:pt>
                <c:pt idx="10">
                  <c:v>6.811897195416126</c:v>
                </c:pt>
                <c:pt idx="11">
                  <c:v>7.5329428523930444</c:v>
                </c:pt>
                <c:pt idx="12">
                  <c:v>8.2539890925720645</c:v>
                </c:pt>
                <c:pt idx="13">
                  <c:v>8.975036602122012</c:v>
                </c:pt>
                <c:pt idx="14">
                  <c:v>9.6960868745264612</c:v>
                </c:pt>
                <c:pt idx="15">
                  <c:v>10.417143160433234</c:v>
                </c:pt>
                <c:pt idx="16">
                  <c:v>11.138212535053178</c:v>
                </c:pt>
                <c:pt idx="17">
                  <c:v>11.859310397965535</c:v>
                </c:pt>
                <c:pt idx="18">
                  <c:v>12.580470267187748</c:v>
                </c:pt>
                <c:pt idx="19">
                  <c:v>13.30176509649834</c:v>
                </c:pt>
                <c:pt idx="20">
                  <c:v>14.023353673743582</c:v>
                </c:pt>
                <c:pt idx="21">
                  <c:v>14.745581609262445</c:v>
                </c:pt>
                <c:pt idx="22">
                  <c:v>15.469201142657644</c:v>
                </c:pt>
                <c:pt idx="23">
                  <c:v>16.195849564125986</c:v>
                </c:pt>
                <c:pt idx="24">
                  <c:v>16.929090524369819</c:v>
                </c:pt>
                <c:pt idx="25">
                  <c:v>17.676680501961531</c:v>
                </c:pt>
                <c:pt idx="26">
                  <c:v>18.455501892194334</c:v>
                </c:pt>
                <c:pt idx="27">
                  <c:v>19.302300141881041</c:v>
                </c:pt>
                <c:pt idx="28">
                  <c:v>20.297053704198543</c:v>
                </c:pt>
                <c:pt idx="29">
                  <c:v>21.588315152817977</c:v>
                </c:pt>
              </c:numCache>
            </c:numRef>
          </c:xVal>
          <c:yVal>
            <c:numRef>
              <c:f>Sheet1!$D$15:$D$45</c:f>
              <c:numCache>
                <c:formatCode>General</c:formatCode>
                <c:ptCount val="31"/>
                <c:pt idx="0">
                  <c:v>2.4843934818259257</c:v>
                </c:pt>
                <c:pt idx="1">
                  <c:v>2.4833548380359463</c:v>
                </c:pt>
                <c:pt idx="2">
                  <c:v>2.4810322563860083</c:v>
                </c:pt>
                <c:pt idx="3">
                  <c:v>2.4787096735538965</c:v>
                </c:pt>
                <c:pt idx="4">
                  <c:v>2.4763870881487198</c:v>
                </c:pt>
                <c:pt idx="5">
                  <c:v>2.4740644971431265</c:v>
                </c:pt>
                <c:pt idx="6">
                  <c:v>2.4717418939479252</c:v>
                </c:pt>
                <c:pt idx="7">
                  <c:v>2.469419264221381</c:v>
                </c:pt>
                <c:pt idx="8">
                  <c:v>2.4670965767479345</c:v>
                </c:pt>
                <c:pt idx="9">
                  <c:v>2.4647737635852289</c:v>
                </c:pt>
                <c:pt idx="10">
                  <c:v>2.4624506768530536</c:v>
                </c:pt>
                <c:pt idx="11">
                  <c:v>2.4601269946821231</c:v>
                </c:pt>
                <c:pt idx="12">
                  <c:v>2.4578020165065251</c:v>
                </c:pt>
                <c:pt idx="13">
                  <c:v>2.455474217506644</c:v>
                </c:pt>
                <c:pt idx="14">
                  <c:v>2.4531402788300851</c:v>
                </c:pt>
                <c:pt idx="15">
                  <c:v>2.4507929768150367</c:v>
                </c:pt>
                <c:pt idx="16">
                  <c:v>2.4484165887707157</c:v>
                </c:pt>
                <c:pt idx="17">
                  <c:v>2.4459768934099215</c:v>
                </c:pt>
                <c:pt idx="18">
                  <c:v>2.4433994062494504</c:v>
                </c:pt>
                <c:pt idx="19">
                  <c:v>2.4405220077814702</c:v>
                </c:pt>
                <c:pt idx="20">
                  <c:v>2.4369918361253706</c:v>
                </c:pt>
                <c:pt idx="21">
                  <c:v>2.4320408683056782</c:v>
                </c:pt>
                <c:pt idx="22">
                  <c:v>2.423997460760793</c:v>
                </c:pt>
                <c:pt idx="23">
                  <c:v>2.4092231908311423</c:v>
                </c:pt>
                <c:pt idx="24">
                  <c:v>2.3797988347337369</c:v>
                </c:pt>
                <c:pt idx="25">
                  <c:v>2.3184877734188225</c:v>
                </c:pt>
                <c:pt idx="26">
                  <c:v>2.1877735729014756</c:v>
                </c:pt>
                <c:pt idx="27">
                  <c:v>1.9059996847088023</c:v>
                </c:pt>
                <c:pt idx="28">
                  <c:v>1.295436212892118</c:v>
                </c:pt>
                <c:pt idx="29">
                  <c:v>6.9573163896663459E-10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3712"/>
        <c:axId val="37808768"/>
      </c:scatterChart>
      <c:valAx>
        <c:axId val="38883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r-Latn-BA"/>
                  <a:t>U</a:t>
                </a:r>
                <a:r>
                  <a:rPr lang="sr-Latn-BA" baseline="0"/>
                  <a:t> [V]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37808768"/>
        <c:crosses val="autoZero"/>
        <c:crossBetween val="midCat"/>
      </c:valAx>
      <c:valAx>
        <c:axId val="37808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r-Latn-BA"/>
                  <a:t>I</a:t>
                </a:r>
                <a:r>
                  <a:rPr lang="sr-Latn-BA" baseline="0"/>
                  <a:t> [A]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388837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13</xdr:row>
      <xdr:rowOff>9525</xdr:rowOff>
    </xdr:from>
    <xdr:to>
      <xdr:col>17</xdr:col>
      <xdr:colOff>257175</xdr:colOff>
      <xdr:row>27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tabSelected="1" workbookViewId="0">
      <selection activeCell="M14" sqref="M14"/>
    </sheetView>
  </sheetViews>
  <sheetFormatPr defaultRowHeight="15" x14ac:dyDescent="0.25"/>
  <cols>
    <col min="1" max="1" width="9.140625" style="2"/>
    <col min="2" max="2" width="12" style="2" bestFit="1" customWidth="1"/>
    <col min="3" max="5" width="9.140625" style="2"/>
    <col min="6" max="8" width="12" style="2" bestFit="1" customWidth="1"/>
    <col min="9" max="10" width="9.140625" style="2"/>
    <col min="11" max="11" width="12.42578125" style="2" bestFit="1" customWidth="1"/>
    <col min="12" max="17" width="9.140625" style="2"/>
    <col min="18" max="18" width="20.5703125" style="2" bestFit="1" customWidth="1"/>
    <col min="19" max="16384" width="9.140625" style="2"/>
  </cols>
  <sheetData>
    <row r="1" spans="1:18" x14ac:dyDescent="0.25">
      <c r="A1" s="1" t="s">
        <v>0</v>
      </c>
      <c r="B1" s="1"/>
      <c r="C1" s="1"/>
      <c r="F1" s="1" t="s">
        <v>15</v>
      </c>
      <c r="G1" s="1"/>
      <c r="H1" s="1"/>
      <c r="K1" s="3" t="s">
        <v>29</v>
      </c>
      <c r="L1" s="3">
        <v>300</v>
      </c>
      <c r="M1" s="3">
        <v>500</v>
      </c>
      <c r="N1" s="3">
        <v>700</v>
      </c>
      <c r="O1" s="3">
        <v>800</v>
      </c>
      <c r="P1" s="3">
        <v>950</v>
      </c>
      <c r="Q1" s="3">
        <v>1000</v>
      </c>
    </row>
    <row r="2" spans="1:18" x14ac:dyDescent="0.25">
      <c r="A2" s="4" t="s">
        <v>1</v>
      </c>
      <c r="B2" s="4">
        <v>3.11</v>
      </c>
      <c r="C2" s="4" t="s">
        <v>2</v>
      </c>
      <c r="F2" s="3" t="s">
        <v>16</v>
      </c>
      <c r="G2" s="3">
        <f>(B2-B7/B4)/(EXP((B10*(B7/B3))/(B9*(273.15+25)))-1)</f>
        <v>1.8026798811041772E-10</v>
      </c>
      <c r="H2" s="3" t="s">
        <v>2</v>
      </c>
      <c r="K2" s="3" t="s">
        <v>30</v>
      </c>
      <c r="L2" s="3">
        <v>8.1463201784268939</v>
      </c>
      <c r="M2" s="3">
        <v>22.510176863478911</v>
      </c>
      <c r="N2" s="3">
        <v>34.769073364448033</v>
      </c>
      <c r="O2" s="3">
        <v>37.085343532109761</v>
      </c>
      <c r="P2" s="3">
        <v>39.170262861115482</v>
      </c>
      <c r="Q2" s="3">
        <v>39.681702513187986</v>
      </c>
    </row>
    <row r="3" spans="1:18" x14ac:dyDescent="0.25">
      <c r="A3" s="4" t="s">
        <v>3</v>
      </c>
      <c r="B3" s="4">
        <v>36</v>
      </c>
      <c r="C3" s="4"/>
      <c r="F3" s="3" t="s">
        <v>17</v>
      </c>
      <c r="G3" s="5">
        <f>B7/B3</f>
        <v>0.60555555555555562</v>
      </c>
      <c r="H3" s="3" t="s">
        <v>9</v>
      </c>
      <c r="K3" s="3" t="s">
        <v>31</v>
      </c>
      <c r="L3" s="3">
        <v>14.553130510829645</v>
      </c>
      <c r="M3" s="3">
        <v>25.194684302592691</v>
      </c>
      <c r="N3" s="3">
        <v>35.767014837059683</v>
      </c>
      <c r="O3" s="3">
        <v>41.001768479114219</v>
      </c>
      <c r="P3" s="3">
        <v>48.773712809163634</v>
      </c>
      <c r="Q3" s="3">
        <v>51.341003935384549</v>
      </c>
    </row>
    <row r="4" spans="1:18" x14ac:dyDescent="0.25">
      <c r="A4" s="4" t="s">
        <v>4</v>
      </c>
      <c r="B4" s="4">
        <v>310</v>
      </c>
      <c r="C4" s="4" t="s">
        <v>5</v>
      </c>
      <c r="F4" s="3" t="s">
        <v>18</v>
      </c>
      <c r="G4" s="3">
        <f>B2/1000</f>
        <v>3.1099999999999999E-3</v>
      </c>
      <c r="H4" s="3" t="s">
        <v>19</v>
      </c>
      <c r="K4" s="3" t="s">
        <v>32</v>
      </c>
      <c r="L4" s="3">
        <v>2</v>
      </c>
      <c r="M4" s="3">
        <v>2</v>
      </c>
      <c r="N4" s="3">
        <v>2</v>
      </c>
      <c r="O4" s="3">
        <v>2</v>
      </c>
      <c r="P4" s="3">
        <v>2</v>
      </c>
      <c r="Q4" s="3">
        <v>2</v>
      </c>
    </row>
    <row r="5" spans="1:18" x14ac:dyDescent="0.25">
      <c r="A5" s="4" t="s">
        <v>6</v>
      </c>
      <c r="B5" s="4">
        <v>0.45</v>
      </c>
      <c r="C5" s="4" t="s">
        <v>5</v>
      </c>
      <c r="F5" s="3"/>
      <c r="G5" s="3"/>
      <c r="H5" s="3"/>
    </row>
    <row r="6" spans="1:18" x14ac:dyDescent="0.25">
      <c r="A6" s="4" t="s">
        <v>7</v>
      </c>
      <c r="B6" s="4"/>
      <c r="C6" s="4"/>
      <c r="F6" s="3" t="s">
        <v>20</v>
      </c>
      <c r="G6" s="3">
        <v>800</v>
      </c>
      <c r="H6" s="3" t="s">
        <v>21</v>
      </c>
      <c r="R6" s="3" t="s">
        <v>35</v>
      </c>
    </row>
    <row r="7" spans="1:18" x14ac:dyDescent="0.25">
      <c r="A7" s="4" t="s">
        <v>8</v>
      </c>
      <c r="B7" s="4">
        <v>21.8</v>
      </c>
      <c r="C7" s="4" t="s">
        <v>9</v>
      </c>
      <c r="F7" s="3"/>
      <c r="G7" s="3"/>
      <c r="H7" s="3"/>
      <c r="K7" s="3" t="s">
        <v>33</v>
      </c>
      <c r="L7" s="3">
        <f>L2*L4</f>
        <v>16.292640356853788</v>
      </c>
      <c r="M7" s="3">
        <f>M2*M4</f>
        <v>45.020353726957822</v>
      </c>
      <c r="N7" s="3">
        <f>N2*N4</f>
        <v>69.538146728896066</v>
      </c>
      <c r="O7" s="3">
        <f>O2*O4</f>
        <v>74.170687064219521</v>
      </c>
      <c r="P7" s="3">
        <f>P2*P4</f>
        <v>78.340525722230964</v>
      </c>
      <c r="Q7" s="3">
        <f>Q2*Q4</f>
        <v>79.363405026375972</v>
      </c>
      <c r="R7" s="3">
        <f>SUM(L7:Q7)</f>
        <v>362.72575862553413</v>
      </c>
    </row>
    <row r="8" spans="1:18" x14ac:dyDescent="0.25">
      <c r="A8" s="4" t="s">
        <v>10</v>
      </c>
      <c r="B8" s="4">
        <v>25</v>
      </c>
      <c r="C8" s="4" t="s">
        <v>36</v>
      </c>
      <c r="F8" s="3" t="s">
        <v>22</v>
      </c>
      <c r="G8" s="3">
        <f>G4*G6</f>
        <v>2.488</v>
      </c>
      <c r="H8" s="3" t="s">
        <v>2</v>
      </c>
      <c r="K8" s="3" t="s">
        <v>34</v>
      </c>
      <c r="L8" s="3">
        <f>L3*L4</f>
        <v>29.106261021659289</v>
      </c>
      <c r="M8" s="3">
        <f>M3*M4</f>
        <v>50.389368605185382</v>
      </c>
      <c r="N8" s="3">
        <f>N3*N4</f>
        <v>71.534029674119367</v>
      </c>
      <c r="O8" s="3">
        <f>O3*O4</f>
        <v>82.003536958228437</v>
      </c>
      <c r="P8" s="3">
        <f>P3*P4</f>
        <v>97.547425618327267</v>
      </c>
      <c r="Q8" s="3">
        <f>Q3*Q4</f>
        <v>102.6820078707691</v>
      </c>
      <c r="R8" s="3">
        <f>SUM(L8:Q8)</f>
        <v>433.26262974828887</v>
      </c>
    </row>
    <row r="9" spans="1:18" x14ac:dyDescent="0.25">
      <c r="A9" s="4" t="s">
        <v>11</v>
      </c>
      <c r="B9" s="6">
        <v>1.3800000000000001E-23</v>
      </c>
      <c r="C9" s="4" t="s">
        <v>12</v>
      </c>
    </row>
    <row r="10" spans="1:18" x14ac:dyDescent="0.25">
      <c r="A10" s="4" t="s">
        <v>13</v>
      </c>
      <c r="B10" s="6">
        <v>1.5999999999999999E-19</v>
      </c>
      <c r="C10" s="4" t="s">
        <v>14</v>
      </c>
    </row>
    <row r="14" spans="1:18" x14ac:dyDescent="0.25">
      <c r="A14" s="7" t="s">
        <v>17</v>
      </c>
      <c r="B14" s="7" t="s">
        <v>23</v>
      </c>
      <c r="C14" s="7" t="s">
        <v>24</v>
      </c>
      <c r="D14" s="7" t="s">
        <v>25</v>
      </c>
      <c r="E14" s="7" t="s">
        <v>26</v>
      </c>
      <c r="F14" s="7" t="s">
        <v>27</v>
      </c>
      <c r="G14" s="7" t="s">
        <v>28</v>
      </c>
      <c r="H14" s="7" t="s">
        <v>7</v>
      </c>
    </row>
    <row r="15" spans="1:18" x14ac:dyDescent="0.25">
      <c r="A15" s="2">
        <v>3.1056125079905999E-2</v>
      </c>
      <c r="B15" s="2">
        <f>$G$2*(EXP(($B$10*A15)/($B$9*(273.15+$B$8)))-1)</f>
        <v>4.2285954369471645E-10</v>
      </c>
      <c r="C15" s="2">
        <f>(A15*$B$3)/$B$4</f>
        <v>3.6065177512148903E-3</v>
      </c>
      <c r="D15" s="2">
        <f>$G$8-B15-C15</f>
        <v>2.4843934818259257</v>
      </c>
      <c r="E15" s="2">
        <f>A15-(D15*$B$5)/$B$3</f>
        <v>1.206557081925852E-6</v>
      </c>
      <c r="F15" s="2">
        <f>E15*$B$3</f>
        <v>4.3436054949330671E-5</v>
      </c>
      <c r="G15" s="2">
        <f>D15*F15</f>
        <v>1.0791225179234986E-4</v>
      </c>
      <c r="H15" s="8">
        <f>F15/D15</f>
        <v>1.7483565009761249E-5</v>
      </c>
    </row>
    <row r="16" spans="1:18" x14ac:dyDescent="0.25">
      <c r="A16" s="2">
        <v>0.04</v>
      </c>
      <c r="B16" s="2">
        <f t="shared" ref="B16:B49" si="0">$G$2*(EXP(($B$10*A16)/($B$9*(273.15+$B$8)))-1)</f>
        <v>6.7373137607808986E-10</v>
      </c>
      <c r="C16" s="2">
        <f t="shared" ref="C16:C49" si="1">(A16*$B$3)/$B$4</f>
        <v>4.6451612903225803E-3</v>
      </c>
      <c r="D16" s="2">
        <f t="shared" ref="D16:D49" si="2">$G$8-B16-C16</f>
        <v>2.4833548380359463</v>
      </c>
      <c r="E16" s="2">
        <f t="shared" ref="E16:E45" si="3">A16-(D16*$B$5)/$B$3</f>
        <v>8.958064524550672E-3</v>
      </c>
      <c r="F16" s="2">
        <f t="shared" ref="F16:F45" si="4">E16*$B$3</f>
        <v>0.32249032288382418</v>
      </c>
      <c r="G16" s="2">
        <f t="shared" ref="G16:G45" si="5">D16*F16</f>
        <v>0.80085790355331921</v>
      </c>
      <c r="H16" s="8">
        <f t="shared" ref="H16:H45" si="6">F16/D16</f>
        <v>0.12986075044308917</v>
      </c>
    </row>
    <row r="17" spans="1:8" x14ac:dyDescent="0.25">
      <c r="A17" s="2">
        <v>0.06</v>
      </c>
      <c r="B17" s="2">
        <f t="shared" si="0"/>
        <v>1.6785078354581377E-9</v>
      </c>
      <c r="C17" s="2">
        <f t="shared" si="1"/>
        <v>6.9677419354838713E-3</v>
      </c>
      <c r="D17" s="2">
        <f t="shared" si="2"/>
        <v>2.4810322563860083</v>
      </c>
      <c r="E17" s="2">
        <f t="shared" si="3"/>
        <v>2.8987096795174892E-2</v>
      </c>
      <c r="F17" s="2">
        <f t="shared" si="4"/>
        <v>1.0435354846262961</v>
      </c>
      <c r="G17" s="2">
        <f t="shared" si="5"/>
        <v>2.5890451980412461</v>
      </c>
      <c r="H17" s="8">
        <f t="shared" si="6"/>
        <v>0.42060536776186874</v>
      </c>
    </row>
    <row r="18" spans="1:8" x14ac:dyDescent="0.25">
      <c r="A18" s="2">
        <v>0.08</v>
      </c>
      <c r="B18" s="2">
        <f t="shared" si="0"/>
        <v>3.8654581648194931E-9</v>
      </c>
      <c r="C18" s="2">
        <f t="shared" si="1"/>
        <v>9.2903225806451606E-3</v>
      </c>
      <c r="D18" s="2">
        <f t="shared" si="2"/>
        <v>2.4787096735538965</v>
      </c>
      <c r="E18" s="2">
        <f t="shared" si="3"/>
        <v>4.9016129080576287E-2</v>
      </c>
      <c r="F18" s="2">
        <f t="shared" si="4"/>
        <v>1.7645806469007463</v>
      </c>
      <c r="G18" s="2">
        <f t="shared" si="5"/>
        <v>4.3738831192388723</v>
      </c>
      <c r="H18" s="8">
        <f t="shared" si="6"/>
        <v>0.71189484824608185</v>
      </c>
    </row>
    <row r="19" spans="1:8" x14ac:dyDescent="0.25">
      <c r="A19" s="2">
        <v>0.1</v>
      </c>
      <c r="B19" s="2">
        <f t="shared" si="0"/>
        <v>8.6254738861718066E-9</v>
      </c>
      <c r="C19" s="2">
        <f t="shared" si="1"/>
        <v>1.1612903225806452E-2</v>
      </c>
      <c r="D19" s="2">
        <f t="shared" si="2"/>
        <v>2.4763870881487198</v>
      </c>
      <c r="E19" s="2">
        <f t="shared" si="3"/>
        <v>6.9045161398141014E-2</v>
      </c>
      <c r="F19" s="2">
        <f t="shared" si="4"/>
        <v>2.4856258103330764</v>
      </c>
      <c r="G19" s="2">
        <f t="shared" si="5"/>
        <v>6.1553716626780295</v>
      </c>
      <c r="H19" s="8">
        <f t="shared" si="6"/>
        <v>1.0037307261972777</v>
      </c>
    </row>
    <row r="20" spans="1:8" x14ac:dyDescent="0.25">
      <c r="A20" s="2">
        <v>0.12</v>
      </c>
      <c r="B20" s="2">
        <f t="shared" si="0"/>
        <v>1.8985905654248518E-8</v>
      </c>
      <c r="C20" s="2">
        <f t="shared" si="1"/>
        <v>1.3935483870967743E-2</v>
      </c>
      <c r="D20" s="2">
        <f t="shared" si="2"/>
        <v>2.4740644971431265</v>
      </c>
      <c r="E20" s="2">
        <f t="shared" si="3"/>
        <v>8.9074193785710909E-2</v>
      </c>
      <c r="F20" s="2">
        <f t="shared" si="4"/>
        <v>3.2066709762855927</v>
      </c>
      <c r="G20" s="2">
        <f t="shared" si="5"/>
        <v>7.9335108164474732</v>
      </c>
      <c r="H20" s="8">
        <f t="shared" si="6"/>
        <v>1.2961145434924708</v>
      </c>
    </row>
    <row r="21" spans="1:8" x14ac:dyDescent="0.25">
      <c r="A21" s="2">
        <v>0.14000000000000001</v>
      </c>
      <c r="B21" s="2">
        <f t="shared" si="0"/>
        <v>4.1535945970182235E-8</v>
      </c>
      <c r="C21" s="2">
        <f t="shared" si="1"/>
        <v>1.6258064516129034E-2</v>
      </c>
      <c r="D21" s="2">
        <f t="shared" si="2"/>
        <v>2.4717418939479252</v>
      </c>
      <c r="E21" s="2">
        <f t="shared" si="3"/>
        <v>0.10910322632565095</v>
      </c>
      <c r="F21" s="2">
        <f t="shared" si="4"/>
        <v>3.9277161477234341</v>
      </c>
      <c r="G21" s="2">
        <f t="shared" si="5"/>
        <v>9.70830054986377</v>
      </c>
      <c r="H21" s="8">
        <f t="shared" si="6"/>
        <v>1.5890478521808731</v>
      </c>
    </row>
    <row r="22" spans="1:8" x14ac:dyDescent="0.25">
      <c r="A22" s="2">
        <v>0.16</v>
      </c>
      <c r="B22" s="2">
        <f t="shared" si="0"/>
        <v>9.0617328834656534E-8</v>
      </c>
      <c r="C22" s="2">
        <f t="shared" si="1"/>
        <v>1.8580645161290321E-2</v>
      </c>
      <c r="D22" s="2">
        <f t="shared" si="2"/>
        <v>2.469419264221381</v>
      </c>
      <c r="E22" s="2">
        <f t="shared" si="3"/>
        <v>0.12913225919723276</v>
      </c>
      <c r="F22" s="2">
        <f t="shared" si="4"/>
        <v>4.6487613311003795</v>
      </c>
      <c r="G22" s="2">
        <f t="shared" si="5"/>
        <v>11.479740785786706</v>
      </c>
      <c r="H22" s="8">
        <f t="shared" si="6"/>
        <v>1.8825322206134789</v>
      </c>
    </row>
    <row r="23" spans="1:8" x14ac:dyDescent="0.25">
      <c r="A23" s="2">
        <v>0.18</v>
      </c>
      <c r="B23" s="2">
        <f t="shared" si="0"/>
        <v>1.9744561428951423E-7</v>
      </c>
      <c r="C23" s="2">
        <f t="shared" si="1"/>
        <v>2.0903225806451611E-2</v>
      </c>
      <c r="D23" s="2">
        <f t="shared" si="2"/>
        <v>2.4670965767479345</v>
      </c>
      <c r="E23" s="2">
        <f t="shared" si="3"/>
        <v>0.14916129279065082</v>
      </c>
      <c r="F23" s="2">
        <f t="shared" si="4"/>
        <v>5.3698065404634292</v>
      </c>
      <c r="G23" s="2">
        <f t="shared" si="5"/>
        <v>13.247831333775995</v>
      </c>
      <c r="H23" s="8">
        <f t="shared" si="6"/>
        <v>2.1765692478653489</v>
      </c>
    </row>
    <row r="24" spans="1:8" x14ac:dyDescent="0.25">
      <c r="A24" s="2">
        <v>0.2</v>
      </c>
      <c r="B24" s="2">
        <f t="shared" si="0"/>
        <v>4.2996315774864296E-7</v>
      </c>
      <c r="C24" s="2">
        <f t="shared" si="1"/>
        <v>2.3225806451612905E-2</v>
      </c>
      <c r="D24" s="2">
        <f t="shared" si="2"/>
        <v>2.4647737635852289</v>
      </c>
      <c r="E24" s="2">
        <f t="shared" si="3"/>
        <v>0.16919032795518466</v>
      </c>
      <c r="F24" s="2">
        <f t="shared" si="4"/>
        <v>6.0908518063866479</v>
      </c>
      <c r="G24" s="2">
        <f t="shared" si="5"/>
        <v>15.012571730267508</v>
      </c>
      <c r="H24" s="8">
        <f t="shared" si="6"/>
        <v>2.4711605975255804</v>
      </c>
    </row>
    <row r="25" spans="1:8" x14ac:dyDescent="0.25">
      <c r="A25" s="2">
        <v>0.22</v>
      </c>
      <c r="B25" s="2">
        <f t="shared" si="0"/>
        <v>9.3605017193285783E-7</v>
      </c>
      <c r="C25" s="2">
        <f t="shared" si="1"/>
        <v>2.5548387096774192E-2</v>
      </c>
      <c r="D25" s="2">
        <f t="shared" si="2"/>
        <v>2.4624506768530536</v>
      </c>
      <c r="E25" s="2">
        <f t="shared" si="3"/>
        <v>0.18921936653933683</v>
      </c>
      <c r="F25" s="2">
        <f t="shared" si="4"/>
        <v>6.811897195416126</v>
      </c>
      <c r="G25" s="2">
        <f t="shared" si="5"/>
        <v>16.773960859505856</v>
      </c>
      <c r="H25" s="8">
        <f t="shared" si="6"/>
        <v>2.7663080765221859</v>
      </c>
    </row>
    <row r="26" spans="1:8" x14ac:dyDescent="0.25">
      <c r="A26" s="2">
        <v>0.24</v>
      </c>
      <c r="B26" s="2">
        <f t="shared" si="0"/>
        <v>2.0375759411955745E-6</v>
      </c>
      <c r="C26" s="2">
        <f t="shared" si="1"/>
        <v>2.7870967741935485E-2</v>
      </c>
      <c r="D26" s="2">
        <f t="shared" si="2"/>
        <v>2.4601269946821231</v>
      </c>
      <c r="E26" s="2">
        <f t="shared" si="3"/>
        <v>0.20924841256647345</v>
      </c>
      <c r="F26" s="2">
        <f t="shared" si="4"/>
        <v>7.5329428523930444</v>
      </c>
      <c r="G26" s="2">
        <f t="shared" si="5"/>
        <v>18.531996060569881</v>
      </c>
      <c r="H26" s="8">
        <f t="shared" si="6"/>
        <v>3.0620138182607879</v>
      </c>
    </row>
    <row r="27" spans="1:8" x14ac:dyDescent="0.25">
      <c r="A27" s="2">
        <v>0.26</v>
      </c>
      <c r="B27" s="2">
        <f t="shared" si="0"/>
        <v>4.4351063783392428E-6</v>
      </c>
      <c r="C27" s="2">
        <f t="shared" si="1"/>
        <v>3.0193548387096772E-2</v>
      </c>
      <c r="D27" s="2">
        <f t="shared" si="2"/>
        <v>2.4578020165065251</v>
      </c>
      <c r="E27" s="2">
        <f t="shared" si="3"/>
        <v>0.22927747479366845</v>
      </c>
      <c r="F27" s="2">
        <f t="shared" si="4"/>
        <v>8.2539890925720645</v>
      </c>
      <c r="G27" s="2">
        <f t="shared" si="5"/>
        <v>20.286671035946483</v>
      </c>
      <c r="H27" s="8">
        <f t="shared" si="6"/>
        <v>3.358280706557534</v>
      </c>
    </row>
    <row r="28" spans="1:8" x14ac:dyDescent="0.25">
      <c r="A28" s="2">
        <v>0.28000000000000003</v>
      </c>
      <c r="B28" s="2">
        <f t="shared" si="0"/>
        <v>9.6534610981546014E-6</v>
      </c>
      <c r="C28" s="2">
        <f t="shared" si="1"/>
        <v>3.2516129032258069E-2</v>
      </c>
      <c r="D28" s="2">
        <f t="shared" si="2"/>
        <v>2.455474217506644</v>
      </c>
      <c r="E28" s="2">
        <f t="shared" si="3"/>
        <v>0.24930657228116698</v>
      </c>
      <c r="F28" s="2">
        <f t="shared" si="4"/>
        <v>8.975036602122012</v>
      </c>
      <c r="G28" s="2">
        <f t="shared" si="5"/>
        <v>22.037970977689035</v>
      </c>
      <c r="H28" s="8">
        <f t="shared" si="6"/>
        <v>3.6551133537193117</v>
      </c>
    </row>
    <row r="29" spans="1:8" x14ac:dyDescent="0.25">
      <c r="A29" s="2">
        <v>0.3</v>
      </c>
      <c r="B29" s="2">
        <f t="shared" si="0"/>
        <v>2.1011492495771137E-5</v>
      </c>
      <c r="C29" s="2">
        <f t="shared" si="1"/>
        <v>3.4838709677419352E-2</v>
      </c>
      <c r="D29" s="2">
        <f t="shared" si="2"/>
        <v>2.4531402788300851</v>
      </c>
      <c r="E29" s="2">
        <f t="shared" si="3"/>
        <v>0.26933574651462394</v>
      </c>
      <c r="F29" s="2">
        <f t="shared" si="4"/>
        <v>9.6960868745264612</v>
      </c>
      <c r="G29" s="2">
        <f t="shared" si="5"/>
        <v>23.785861258936571</v>
      </c>
      <c r="H29" s="8">
        <f t="shared" si="6"/>
        <v>3.9525203504263415</v>
      </c>
    </row>
    <row r="30" spans="1:8" x14ac:dyDescent="0.25">
      <c r="A30" s="2">
        <v>0.32</v>
      </c>
      <c r="B30" s="2">
        <f t="shared" si="0"/>
        <v>4.5732862382601645E-5</v>
      </c>
      <c r="C30" s="2">
        <f t="shared" si="1"/>
        <v>3.7161290322580642E-2</v>
      </c>
      <c r="D30" s="2">
        <f t="shared" si="2"/>
        <v>2.4507929768150367</v>
      </c>
      <c r="E30" s="2">
        <f t="shared" si="3"/>
        <v>0.28936508778981207</v>
      </c>
      <c r="F30" s="2">
        <f t="shared" si="4"/>
        <v>10.417143160433234</v>
      </c>
      <c r="G30" s="2">
        <f t="shared" si="5"/>
        <v>25.530261296066566</v>
      </c>
      <c r="H30" s="8">
        <f t="shared" si="6"/>
        <v>4.2505194273777391</v>
      </c>
    </row>
    <row r="31" spans="1:8" x14ac:dyDescent="0.25">
      <c r="A31" s="2">
        <v>0.34</v>
      </c>
      <c r="B31" s="2">
        <f t="shared" si="0"/>
        <v>9.9540261542436701E-5</v>
      </c>
      <c r="C31" s="2">
        <f t="shared" si="1"/>
        <v>3.9483870967741939E-2</v>
      </c>
      <c r="D31" s="2">
        <f t="shared" si="2"/>
        <v>2.4484165887707157</v>
      </c>
      <c r="E31" s="2">
        <f t="shared" si="3"/>
        <v>0.30939479264036607</v>
      </c>
      <c r="F31" s="2">
        <f t="shared" si="4"/>
        <v>11.138212535053178</v>
      </c>
      <c r="G31" s="2">
        <f t="shared" si="5"/>
        <v>27.270984340078126</v>
      </c>
      <c r="H31" s="8">
        <f t="shared" si="6"/>
        <v>4.5491492690160937</v>
      </c>
    </row>
    <row r="32" spans="1:8" x14ac:dyDescent="0.25">
      <c r="A32" s="2">
        <v>0.36</v>
      </c>
      <c r="B32" s="2">
        <f t="shared" si="0"/>
        <v>2.1665497717509043E-4</v>
      </c>
      <c r="C32" s="2">
        <f t="shared" si="1"/>
        <v>4.1806451612903223E-2</v>
      </c>
      <c r="D32" s="2">
        <f t="shared" si="2"/>
        <v>2.4459768934099215</v>
      </c>
      <c r="E32" s="2">
        <f t="shared" si="3"/>
        <v>0.32942528883237598</v>
      </c>
      <c r="F32" s="2">
        <f t="shared" si="4"/>
        <v>11.859310397965535</v>
      </c>
      <c r="G32" s="2">
        <f t="shared" si="5"/>
        <v>29.007599205199721</v>
      </c>
      <c r="H32" s="8">
        <f t="shared" si="6"/>
        <v>4.8484964963968009</v>
      </c>
    </row>
    <row r="33" spans="1:8" x14ac:dyDescent="0.25">
      <c r="A33" s="2">
        <v>0.38</v>
      </c>
      <c r="B33" s="2">
        <f t="shared" si="0"/>
        <v>4.7156149248489716E-4</v>
      </c>
      <c r="C33" s="2">
        <f t="shared" si="1"/>
        <v>4.4129032258064513E-2</v>
      </c>
      <c r="D33" s="2">
        <f t="shared" si="2"/>
        <v>2.4433994062494504</v>
      </c>
      <c r="E33" s="2">
        <f t="shared" si="3"/>
        <v>0.34945750742188186</v>
      </c>
      <c r="F33" s="2">
        <f t="shared" si="4"/>
        <v>12.580470267187748</v>
      </c>
      <c r="G33" s="2">
        <f t="shared" si="5"/>
        <v>30.739113581185407</v>
      </c>
      <c r="H33" s="8">
        <f t="shared" si="6"/>
        <v>5.1487571925452897</v>
      </c>
    </row>
    <row r="34" spans="1:8" x14ac:dyDescent="0.25">
      <c r="A34" s="2">
        <v>0.4</v>
      </c>
      <c r="B34" s="2">
        <f t="shared" si="0"/>
        <v>1.0263793153040119E-3</v>
      </c>
      <c r="C34" s="2">
        <f t="shared" si="1"/>
        <v>4.645161290322581E-2</v>
      </c>
      <c r="D34" s="2">
        <f t="shared" si="2"/>
        <v>2.4405220077814702</v>
      </c>
      <c r="E34" s="2">
        <f t="shared" si="3"/>
        <v>0.36949347490273166</v>
      </c>
      <c r="F34" s="2">
        <f t="shared" si="4"/>
        <v>13.30176509649834</v>
      </c>
      <c r="G34" s="2">
        <f t="shared" si="5"/>
        <v>32.463250460343609</v>
      </c>
      <c r="H34" s="8">
        <f t="shared" si="6"/>
        <v>5.4503770316704347</v>
      </c>
    </row>
    <row r="35" spans="1:8" x14ac:dyDescent="0.25">
      <c r="A35" s="2">
        <v>0.42</v>
      </c>
      <c r="B35" s="2">
        <f t="shared" si="0"/>
        <v>2.2339703262423708E-3</v>
      </c>
      <c r="C35" s="2">
        <f t="shared" si="1"/>
        <v>4.8774193548387093E-2</v>
      </c>
      <c r="D35" s="2">
        <f t="shared" si="2"/>
        <v>2.4369918361253706</v>
      </c>
      <c r="E35" s="2">
        <f t="shared" si="3"/>
        <v>0.38953760204843285</v>
      </c>
      <c r="F35" s="2">
        <f t="shared" si="4"/>
        <v>14.023353673743582</v>
      </c>
      <c r="G35" s="2">
        <f t="shared" si="5"/>
        <v>34.174798418011832</v>
      </c>
      <c r="H35" s="8">
        <f t="shared" si="6"/>
        <v>5.7543703946253819</v>
      </c>
    </row>
    <row r="36" spans="1:8" x14ac:dyDescent="0.25">
      <c r="A36" s="2">
        <v>0.44</v>
      </c>
      <c r="B36" s="2">
        <f t="shared" si="0"/>
        <v>4.8623575007736355E-3</v>
      </c>
      <c r="C36" s="2">
        <f t="shared" si="1"/>
        <v>5.1096774193548383E-2</v>
      </c>
      <c r="D36" s="2">
        <f t="shared" si="2"/>
        <v>2.4320408683056782</v>
      </c>
      <c r="E36" s="2">
        <f t="shared" si="3"/>
        <v>0.409599489146179</v>
      </c>
      <c r="F36" s="2">
        <f t="shared" si="4"/>
        <v>14.745581609262445</v>
      </c>
      <c r="G36" s="2">
        <f t="shared" si="5"/>
        <v>35.861857100662874</v>
      </c>
      <c r="H36" s="8">
        <f t="shared" si="6"/>
        <v>6.0630484468524575</v>
      </c>
    </row>
    <row r="37" spans="1:8" x14ac:dyDescent="0.25">
      <c r="A37" s="2">
        <v>0.46</v>
      </c>
      <c r="B37" s="2">
        <f t="shared" si="0"/>
        <v>1.0583184400497167E-2</v>
      </c>
      <c r="C37" s="2">
        <f t="shared" si="1"/>
        <v>5.3419354838709687E-2</v>
      </c>
      <c r="D37" s="2">
        <f t="shared" si="2"/>
        <v>2.423997460760793</v>
      </c>
      <c r="E37" s="2">
        <f t="shared" si="3"/>
        <v>0.4297000317404901</v>
      </c>
      <c r="F37" s="2">
        <f t="shared" si="4"/>
        <v>15.469201142657644</v>
      </c>
      <c r="G37" s="2">
        <f t="shared" si="5"/>
        <v>37.497304289800084</v>
      </c>
      <c r="H37" s="8">
        <f t="shared" si="6"/>
        <v>6.3816903247920473</v>
      </c>
    </row>
    <row r="38" spans="1:8" x14ac:dyDescent="0.25">
      <c r="A38" s="2">
        <v>0.48</v>
      </c>
      <c r="B38" s="2">
        <f t="shared" si="0"/>
        <v>2.3034873684986464E-2</v>
      </c>
      <c r="C38" s="2">
        <f t="shared" si="1"/>
        <v>5.574193548387097E-2</v>
      </c>
      <c r="D38" s="2">
        <f t="shared" si="2"/>
        <v>2.4092231908311423</v>
      </c>
      <c r="E38" s="2">
        <f t="shared" si="3"/>
        <v>0.44988471011461068</v>
      </c>
      <c r="F38" s="2">
        <f t="shared" si="4"/>
        <v>16.195849564125986</v>
      </c>
      <c r="G38" s="2">
        <f t="shared" si="5"/>
        <v>39.019416365104775</v>
      </c>
      <c r="H38" s="8">
        <f t="shared" si="6"/>
        <v>6.7224363544909611</v>
      </c>
    </row>
    <row r="39" spans="1:8" x14ac:dyDescent="0.25">
      <c r="A39" s="2">
        <v>0.5</v>
      </c>
      <c r="B39" s="2">
        <f t="shared" si="0"/>
        <v>5.013664913723076E-2</v>
      </c>
      <c r="C39" s="2">
        <f t="shared" si="1"/>
        <v>5.8064516129032261E-2</v>
      </c>
      <c r="D39" s="2">
        <f t="shared" si="2"/>
        <v>2.3797988347337369</v>
      </c>
      <c r="E39" s="2">
        <f t="shared" si="3"/>
        <v>0.47025251456582828</v>
      </c>
      <c r="F39" s="2">
        <f t="shared" si="4"/>
        <v>16.929090524369819</v>
      </c>
      <c r="G39" s="2">
        <f t="shared" si="5"/>
        <v>40.287829902997245</v>
      </c>
      <c r="H39" s="8">
        <f t="shared" si="6"/>
        <v>7.1136645153723359</v>
      </c>
    </row>
    <row r="40" spans="1:8" x14ac:dyDescent="0.25">
      <c r="A40" s="2">
        <v>0.52</v>
      </c>
      <c r="B40" s="2">
        <f t="shared" si="0"/>
        <v>0.10912512980698409</v>
      </c>
      <c r="C40" s="2">
        <f t="shared" si="1"/>
        <v>6.0387096774193544E-2</v>
      </c>
      <c r="D40" s="2">
        <f t="shared" si="2"/>
        <v>2.3184877734188225</v>
      </c>
      <c r="E40" s="2">
        <f t="shared" si="3"/>
        <v>0.49101890283226474</v>
      </c>
      <c r="F40" s="2">
        <f t="shared" si="4"/>
        <v>17.676680501961531</v>
      </c>
      <c r="G40" s="2">
        <f t="shared" si="5"/>
        <v>40.983167618428702</v>
      </c>
      <c r="H40" s="8">
        <f t="shared" si="6"/>
        <v>7.6242284753978442</v>
      </c>
    </row>
    <row r="41" spans="1:8" x14ac:dyDescent="0.25">
      <c r="A41" s="2">
        <v>0.54</v>
      </c>
      <c r="B41" s="2">
        <f t="shared" si="0"/>
        <v>0.23751674967916986</v>
      </c>
      <c r="C41" s="2">
        <f t="shared" si="1"/>
        <v>6.2709677419354848E-2</v>
      </c>
      <c r="D41" s="2">
        <f t="shared" si="2"/>
        <v>2.1877735729014756</v>
      </c>
      <c r="E41" s="2">
        <f t="shared" si="3"/>
        <v>0.51265283033873155</v>
      </c>
      <c r="F41" s="2">
        <f t="shared" si="4"/>
        <v>18.455501892194334</v>
      </c>
      <c r="G41" s="2">
        <f t="shared" si="5"/>
        <v>40.376459314375943</v>
      </c>
      <c r="H41" s="8">
        <f t="shared" si="6"/>
        <v>8.4357458746145397</v>
      </c>
    </row>
    <row r="42" spans="1:8" x14ac:dyDescent="0.25">
      <c r="A42" s="2">
        <v>0.56000000000000005</v>
      </c>
      <c r="B42" s="2">
        <f t="shared" si="0"/>
        <v>0.5169680572266816</v>
      </c>
      <c r="C42" s="2">
        <f t="shared" si="1"/>
        <v>6.5032258064516138E-2</v>
      </c>
      <c r="D42" s="2">
        <f t="shared" si="2"/>
        <v>1.9059996847088023</v>
      </c>
      <c r="E42" s="2">
        <f t="shared" si="3"/>
        <v>0.53617500394114004</v>
      </c>
      <c r="F42" s="2">
        <f t="shared" si="4"/>
        <v>19.302300141881041</v>
      </c>
      <c r="G42" s="2">
        <f t="shared" si="5"/>
        <v>36.790177984579934</v>
      </c>
      <c r="H42" s="8">
        <f t="shared" si="6"/>
        <v>10.127126618507305</v>
      </c>
    </row>
    <row r="43" spans="1:8" x14ac:dyDescent="0.25">
      <c r="A43" s="2">
        <v>0.57999999999999996</v>
      </c>
      <c r="B43" s="2">
        <f t="shared" si="0"/>
        <v>1.1252089483982046</v>
      </c>
      <c r="C43" s="2">
        <f t="shared" si="1"/>
        <v>6.7354838709677414E-2</v>
      </c>
      <c r="D43" s="2">
        <f t="shared" si="2"/>
        <v>1.295436212892118</v>
      </c>
      <c r="E43" s="2">
        <f t="shared" si="3"/>
        <v>0.56380704733884845</v>
      </c>
      <c r="F43" s="2">
        <f t="shared" si="4"/>
        <v>20.297053704198543</v>
      </c>
      <c r="G43" s="2">
        <f t="shared" si="5"/>
        <v>26.293538383434896</v>
      </c>
      <c r="H43" s="8">
        <f t="shared" si="6"/>
        <v>15.668122831678824</v>
      </c>
    </row>
    <row r="44" spans="1:8" x14ac:dyDescent="0.25">
      <c r="A44" s="2">
        <v>0.59967542092030701</v>
      </c>
      <c r="B44" s="2">
        <f t="shared" si="0"/>
        <v>2.4183602730038456</v>
      </c>
      <c r="C44" s="2">
        <f t="shared" si="1"/>
        <v>6.9639726300422755E-2</v>
      </c>
      <c r="D44" s="2">
        <f t="shared" si="2"/>
        <v>6.9573163896663459E-10</v>
      </c>
      <c r="E44" s="2">
        <f t="shared" si="3"/>
        <v>0.59967542091161041</v>
      </c>
      <c r="F44" s="2">
        <f t="shared" si="4"/>
        <v>21.588315152817977</v>
      </c>
      <c r="G44" s="2">
        <f t="shared" si="5"/>
        <v>1.5019673883798283E-8</v>
      </c>
      <c r="H44" s="8">
        <f t="shared" si="6"/>
        <v>31029658482.806606</v>
      </c>
    </row>
    <row r="45" spans="1:8" x14ac:dyDescent="0.25">
      <c r="H45" s="8"/>
    </row>
    <row r="51" spans="1:8" x14ac:dyDescent="0.25">
      <c r="A51" s="7" t="s">
        <v>17</v>
      </c>
      <c r="B51" s="7" t="s">
        <v>23</v>
      </c>
      <c r="C51" s="7" t="s">
        <v>24</v>
      </c>
      <c r="D51" s="7" t="s">
        <v>25</v>
      </c>
      <c r="E51" s="7" t="s">
        <v>26</v>
      </c>
      <c r="F51" s="7" t="s">
        <v>27</v>
      </c>
      <c r="G51" s="7" t="s">
        <v>28</v>
      </c>
      <c r="H51" s="7" t="s">
        <v>7</v>
      </c>
    </row>
    <row r="52" spans="1:8" x14ac:dyDescent="0.25">
      <c r="A52" s="2">
        <v>0.52825680364355154</v>
      </c>
      <c r="B52" s="2">
        <f>$G$2*(EXP(($B$10*A52)/($B$9*(273.15+$B$8)))-1)</f>
        <v>0.15044216757633111</v>
      </c>
      <c r="C52" s="2">
        <f>(A52*$B$3)/$B$4</f>
        <v>6.1345951390864052E-2</v>
      </c>
      <c r="D52" s="2">
        <f>$G$8-B52-C52</f>
        <v>2.2762118810328049</v>
      </c>
      <c r="E52" s="2">
        <f>A52-(D52*$B$5)/$B$3</f>
        <v>0.49980415513064147</v>
      </c>
      <c r="F52" s="2">
        <f>E52*$B$3</f>
        <v>17.992949584703094</v>
      </c>
      <c r="G52" s="2">
        <f>D52*F52</f>
        <v>40.955765619525458</v>
      </c>
      <c r="H52" s="8">
        <f>F52/D52</f>
        <v>7.9047779930482571</v>
      </c>
    </row>
  </sheetData>
  <mergeCells count="2">
    <mergeCell ref="F1:H1"/>
    <mergeCell ref="A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2021-05-25T06:16:37Z</dcterms:created>
  <dcterms:modified xsi:type="dcterms:W3CDTF">2021-05-25T07:51:55Z</dcterms:modified>
</cp:coreProperties>
</file>