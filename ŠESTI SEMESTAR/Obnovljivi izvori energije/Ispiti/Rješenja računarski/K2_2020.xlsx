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6225"/>
  </bookViews>
  <sheets>
    <sheet name="Tehnički proračun" sheetId="1" r:id="rId1"/>
    <sheet name="Ekonomski proračun" sheetId="2" r:id="rId2"/>
  </sheets>
  <calcPr calcId="144525"/>
</workbook>
</file>

<file path=xl/calcChain.xml><?xml version="1.0" encoding="utf-8"?>
<calcChain xmlns="http://schemas.openxmlformats.org/spreadsheetml/2006/main">
  <c r="I16" i="2" l="1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15" i="2"/>
  <c r="B10" i="2"/>
  <c r="B9" i="2"/>
  <c r="E15" i="2"/>
  <c r="C15" i="2"/>
  <c r="B16" i="2"/>
  <c r="C14" i="2"/>
  <c r="E14" i="2" s="1"/>
  <c r="B15" i="2" s="1"/>
  <c r="B8" i="2" s="1"/>
  <c r="B14" i="2"/>
  <c r="B4" i="2"/>
  <c r="B3" i="2"/>
  <c r="I9" i="1"/>
  <c r="I8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13" i="1"/>
  <c r="B7" i="1"/>
  <c r="C14" i="1"/>
  <c r="F14" i="1" s="1"/>
  <c r="C15" i="1"/>
  <c r="E15" i="1" s="1"/>
  <c r="C16" i="1"/>
  <c r="E16" i="1" s="1"/>
  <c r="C17" i="1"/>
  <c r="F17" i="1" s="1"/>
  <c r="C18" i="1"/>
  <c r="F18" i="1" s="1"/>
  <c r="C19" i="1"/>
  <c r="E19" i="1" s="1"/>
  <c r="C20" i="1"/>
  <c r="E20" i="1" s="1"/>
  <c r="C21" i="1"/>
  <c r="F21" i="1" s="1"/>
  <c r="C22" i="1"/>
  <c r="F22" i="1" s="1"/>
  <c r="C23" i="1"/>
  <c r="E23" i="1" s="1"/>
  <c r="C24" i="1"/>
  <c r="E24" i="1" s="1"/>
  <c r="C25" i="1"/>
  <c r="F25" i="1" s="1"/>
  <c r="C26" i="1"/>
  <c r="F26" i="1" s="1"/>
  <c r="C27" i="1"/>
  <c r="E27" i="1" s="1"/>
  <c r="C28" i="1"/>
  <c r="E28" i="1" s="1"/>
  <c r="C29" i="1"/>
  <c r="F29" i="1" s="1"/>
  <c r="C30" i="1"/>
  <c r="F30" i="1" s="1"/>
  <c r="C31" i="1"/>
  <c r="E31" i="1" s="1"/>
  <c r="C32" i="1"/>
  <c r="E32" i="1" s="1"/>
  <c r="C33" i="1"/>
  <c r="F33" i="1" s="1"/>
  <c r="C34" i="1"/>
  <c r="F34" i="1" s="1"/>
  <c r="C35" i="1"/>
  <c r="E35" i="1" s="1"/>
  <c r="C36" i="1"/>
  <c r="E36" i="1" s="1"/>
  <c r="C37" i="1"/>
  <c r="F37" i="1" s="1"/>
  <c r="C38" i="1"/>
  <c r="F38" i="1" s="1"/>
  <c r="C39" i="1"/>
  <c r="E39" i="1" s="1"/>
  <c r="C13" i="1"/>
  <c r="E13" i="1" s="1"/>
  <c r="B17" i="2" l="1"/>
  <c r="C16" i="2"/>
  <c r="E16" i="2" s="1"/>
  <c r="D18" i="2"/>
  <c r="D15" i="2"/>
  <c r="D19" i="2"/>
  <c r="D23" i="2"/>
  <c r="D27" i="2"/>
  <c r="D31" i="2"/>
  <c r="D16" i="2"/>
  <c r="D20" i="2"/>
  <c r="D28" i="2"/>
  <c r="D32" i="2"/>
  <c r="D24" i="2"/>
  <c r="D17" i="2"/>
  <c r="D21" i="2"/>
  <c r="D25" i="2"/>
  <c r="D29" i="2"/>
  <c r="D33" i="2"/>
  <c r="D22" i="2"/>
  <c r="D26" i="2"/>
  <c r="D30" i="2"/>
  <c r="E38" i="1"/>
  <c r="E34" i="1"/>
  <c r="E30" i="1"/>
  <c r="E26" i="1"/>
  <c r="E22" i="1"/>
  <c r="E18" i="1"/>
  <c r="E14" i="1"/>
  <c r="F13" i="1"/>
  <c r="F36" i="1"/>
  <c r="F32" i="1"/>
  <c r="F28" i="1"/>
  <c r="F24" i="1"/>
  <c r="F20" i="1"/>
  <c r="F16" i="1"/>
  <c r="E37" i="1"/>
  <c r="E33" i="1"/>
  <c r="E29" i="1"/>
  <c r="E25" i="1"/>
  <c r="E21" i="1"/>
  <c r="E17" i="1"/>
  <c r="I3" i="1" s="1"/>
  <c r="I2" i="1" s="1"/>
  <c r="I4" i="1" s="1"/>
  <c r="I6" i="1" s="1"/>
  <c r="F39" i="1"/>
  <c r="F35" i="1"/>
  <c r="F31" i="1"/>
  <c r="F27" i="1"/>
  <c r="F23" i="1"/>
  <c r="F19" i="1"/>
  <c r="F15" i="1"/>
  <c r="C17" i="2" l="1"/>
  <c r="E17" i="2" s="1"/>
  <c r="B18" i="2" s="1"/>
  <c r="I5" i="1"/>
  <c r="I7" i="1" s="1"/>
  <c r="C18" i="2" l="1"/>
  <c r="E18" i="2" s="1"/>
  <c r="B19" i="2" s="1"/>
  <c r="B20" i="2" l="1"/>
  <c r="C19" i="2"/>
  <c r="E19" i="2" s="1"/>
  <c r="B21" i="2" l="1"/>
  <c r="C20" i="2"/>
  <c r="E20" i="2" s="1"/>
  <c r="C21" i="2" l="1"/>
  <c r="E21" i="2" s="1"/>
  <c r="B22" i="2" s="1"/>
  <c r="C22" i="2" l="1"/>
  <c r="E22" i="2" s="1"/>
  <c r="B23" i="2" s="1"/>
  <c r="C23" i="2" l="1"/>
  <c r="E23" i="2" s="1"/>
  <c r="B24" i="2" s="1"/>
  <c r="C24" i="2" l="1"/>
  <c r="E24" i="2" s="1"/>
  <c r="B25" i="2" s="1"/>
  <c r="C25" i="2" l="1"/>
  <c r="E25" i="2" s="1"/>
  <c r="B26" i="2" s="1"/>
  <c r="C26" i="2" l="1"/>
  <c r="E26" i="2" s="1"/>
  <c r="B27" i="2" s="1"/>
  <c r="C27" i="2" l="1"/>
  <c r="E27" i="2" s="1"/>
  <c r="B28" i="2" s="1"/>
  <c r="C28" i="2" l="1"/>
  <c r="E28" i="2" s="1"/>
  <c r="B29" i="2" s="1"/>
  <c r="B30" i="2" l="1"/>
  <c r="C29" i="2"/>
  <c r="E29" i="2" s="1"/>
  <c r="C30" i="2" l="1"/>
  <c r="E30" i="2" s="1"/>
  <c r="B31" i="2" s="1"/>
  <c r="B32" i="2" l="1"/>
  <c r="C31" i="2"/>
  <c r="E31" i="2" s="1"/>
  <c r="C32" i="2" l="1"/>
  <c r="E32" i="2" s="1"/>
  <c r="B33" i="2" s="1"/>
  <c r="C33" i="2" s="1"/>
  <c r="E33" i="2" s="1"/>
</calcChain>
</file>

<file path=xl/sharedStrings.xml><?xml version="1.0" encoding="utf-8"?>
<sst xmlns="http://schemas.openxmlformats.org/spreadsheetml/2006/main" count="59" uniqueCount="52">
  <si>
    <t>Podaci</t>
  </si>
  <si>
    <t>MW</t>
  </si>
  <si>
    <t>D</t>
  </si>
  <si>
    <t>m</t>
  </si>
  <si>
    <t>k</t>
  </si>
  <si>
    <t>c</t>
  </si>
  <si>
    <t>P [kW]</t>
  </si>
  <si>
    <t>v [m/s]</t>
  </si>
  <si>
    <r>
      <rPr>
        <sz val="11"/>
        <color theme="1"/>
        <rFont val="Calibri"/>
        <family val="2"/>
      </rPr>
      <t>ρ</t>
    </r>
    <r>
      <rPr>
        <vertAlign val="subscript"/>
        <sz val="11"/>
        <color theme="1"/>
        <rFont val="Calibri"/>
        <family val="2"/>
      </rPr>
      <t>0</t>
    </r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</si>
  <si>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</si>
  <si>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t>t [h/god]</t>
  </si>
  <si>
    <t>Proračun</t>
  </si>
  <si>
    <r>
      <t>P</t>
    </r>
    <r>
      <rPr>
        <vertAlign val="subscript"/>
        <sz val="11"/>
        <color theme="1"/>
        <rFont val="Calibri"/>
        <family val="2"/>
        <scheme val="minor"/>
      </rPr>
      <t>sr, spec</t>
    </r>
  </si>
  <si>
    <r>
      <t>W/m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</si>
  <si>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v</t>
    </r>
    <r>
      <rPr>
        <vertAlign val="subscript"/>
        <sz val="11"/>
        <color theme="1"/>
        <rFont val="Calibri"/>
        <family val="2"/>
        <scheme val="minor"/>
      </rPr>
      <t>eff</t>
    </r>
  </si>
  <si>
    <t>m/s</t>
  </si>
  <si>
    <r>
      <t>W</t>
    </r>
    <r>
      <rPr>
        <vertAlign val="subscript"/>
        <sz val="11"/>
        <color theme="1"/>
        <rFont val="Calibri"/>
        <family val="2"/>
        <scheme val="minor"/>
      </rPr>
      <t>god</t>
    </r>
  </si>
  <si>
    <t>GWh/god</t>
  </si>
  <si>
    <r>
      <t>P</t>
    </r>
    <r>
      <rPr>
        <vertAlign val="subscript"/>
        <sz val="11"/>
        <color theme="1"/>
        <rFont val="Calibri"/>
        <family val="2"/>
        <scheme val="minor"/>
      </rPr>
      <t>sr</t>
    </r>
  </si>
  <si>
    <t>kW</t>
  </si>
  <si>
    <t>A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</si>
  <si>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</si>
  <si>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P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charset val="238"/>
        <scheme val="minor"/>
      </rPr>
      <t>*t</t>
    </r>
    <r>
      <rPr>
        <vertAlign val="subscript"/>
        <sz val="11"/>
        <color theme="1"/>
        <rFont val="Calibri"/>
        <family val="2"/>
        <scheme val="minor"/>
      </rPr>
      <t>i</t>
    </r>
  </si>
  <si>
    <r>
      <t>W</t>
    </r>
    <r>
      <rPr>
        <vertAlign val="subscript"/>
        <sz val="11"/>
        <color theme="1"/>
        <rFont val="Calibri"/>
        <family val="2"/>
        <scheme val="minor"/>
      </rPr>
      <t>v</t>
    </r>
  </si>
  <si>
    <t>η</t>
  </si>
  <si>
    <t>CF</t>
  </si>
  <si>
    <r>
      <t>v</t>
    </r>
    <r>
      <rPr>
        <vertAlign val="subscript"/>
        <sz val="11"/>
        <color theme="1"/>
        <rFont val="Calibri"/>
        <family val="2"/>
        <scheme val="minor"/>
      </rPr>
      <t>sr</t>
    </r>
  </si>
  <si>
    <r>
      <t>v</t>
    </r>
    <r>
      <rPr>
        <vertAlign val="subscript"/>
        <sz val="11"/>
        <color theme="1"/>
        <rFont val="Calibri"/>
        <family val="2"/>
        <scheme val="minor"/>
      </rPr>
      <t>i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*t</t>
    </r>
    <r>
      <rPr>
        <vertAlign val="subscript"/>
        <sz val="11"/>
        <color theme="1"/>
        <rFont val="Calibri"/>
        <family val="2"/>
        <scheme val="minor"/>
      </rPr>
      <t>i</t>
    </r>
  </si>
  <si>
    <r>
      <t>v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charset val="238"/>
        <scheme val="minor"/>
      </rPr>
      <t>*t</t>
    </r>
    <r>
      <rPr>
        <vertAlign val="subscript"/>
        <sz val="11"/>
        <color theme="1"/>
        <rFont val="Calibri"/>
        <family val="2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</si>
  <si>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scheme val="minor"/>
      </rPr>
      <t>1a</t>
    </r>
  </si>
  <si>
    <t>Investicioni troškovi</t>
  </si>
  <si>
    <t>KM/kW</t>
  </si>
  <si>
    <t>Ukupna investicija</t>
  </si>
  <si>
    <t>KM</t>
  </si>
  <si>
    <t>Održavanje</t>
  </si>
  <si>
    <t>Rok otplate kredita</t>
  </si>
  <si>
    <t>god</t>
  </si>
  <si>
    <t>Grejs period</t>
  </si>
  <si>
    <t>Kamatna stopa</t>
  </si>
  <si>
    <t>Godina</t>
  </si>
  <si>
    <t>Dug [KM]</t>
  </si>
  <si>
    <t>Kamata [KM]</t>
  </si>
  <si>
    <t>Rata kredita [KM]</t>
  </si>
  <si>
    <t>Rata kredita</t>
  </si>
  <si>
    <t>Otplata</t>
  </si>
  <si>
    <t>Održavanje [KM]</t>
  </si>
  <si>
    <t>Prihod od prodaje el energije [KM]</t>
  </si>
  <si>
    <t>Zarada [KM]</t>
  </si>
  <si>
    <t>Proizvodnja [kWh]</t>
  </si>
  <si>
    <t>Godišnji rashodi</t>
  </si>
  <si>
    <t>Minimalna cijena</t>
  </si>
  <si>
    <t>KM/kWh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</si>
</sst>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K_M_-;\-* #,##0.00\ _K_M_-;_-* &quot;-&quot;??\ _K_M_-;_-@_-"/>
    <numFmt numFmtId="164" formatCode="0.00000"/>
    <numFmt numFmtId="165" formatCode="0.0000"/>
    <numFmt numFmtId="166" formatCode="0.000"/>
    <numFmt numFmtId="170" formatCode="0.0%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70" fontId="0" fillId="0" borderId="0" xfId="2" applyNumberFormat="1" applyFont="1"/>
    <xf numFmtId="10" fontId="0" fillId="0" borderId="0" xfId="2" applyNumberFormat="1" applyFon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4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'Tehnički proračun'!$B$12</c:f>
              <c:strCache>
                <c:ptCount val="1"/>
                <c:pt idx="0">
                  <c:v>P [kW]</c:v>
                </c:pt>
              </c:strCache>
            </c:strRef>
          </c:tx>
          <c:marker>
            <c:symbol val="none"/>
          </c:marker>
          <c:xVal>
            <c:numRef>
              <c:f>'Tehnički proračun'!$A$13:$A$39</c:f>
              <c:numCache>
                <c:formatCode>0.00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'Tehnički proračun'!$B$13:$B$39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78</c:v>
                </c:pt>
                <c:pt idx="6">
                  <c:v>150</c:v>
                </c:pt>
                <c:pt idx="7">
                  <c:v>234</c:v>
                </c:pt>
                <c:pt idx="8">
                  <c:v>381</c:v>
                </c:pt>
                <c:pt idx="9">
                  <c:v>557</c:v>
                </c:pt>
                <c:pt idx="10">
                  <c:v>752</c:v>
                </c:pt>
                <c:pt idx="11">
                  <c:v>926</c:v>
                </c:pt>
                <c:pt idx="12">
                  <c:v>1050</c:v>
                </c:pt>
                <c:pt idx="13">
                  <c:v>1159</c:v>
                </c:pt>
                <c:pt idx="14">
                  <c:v>1249</c:v>
                </c:pt>
                <c:pt idx="15">
                  <c:v>1301</c:v>
                </c:pt>
                <c:pt idx="16">
                  <c:v>1306</c:v>
                </c:pt>
                <c:pt idx="17">
                  <c:v>1292</c:v>
                </c:pt>
                <c:pt idx="18">
                  <c:v>1283</c:v>
                </c:pt>
                <c:pt idx="19">
                  <c:v>1282</c:v>
                </c:pt>
                <c:pt idx="20">
                  <c:v>1288</c:v>
                </c:pt>
                <c:pt idx="21">
                  <c:v>1292</c:v>
                </c:pt>
                <c:pt idx="22">
                  <c:v>1300</c:v>
                </c:pt>
                <c:pt idx="23">
                  <c:v>1313</c:v>
                </c:pt>
                <c:pt idx="24">
                  <c:v>1328</c:v>
                </c:pt>
                <c:pt idx="25">
                  <c:v>1344</c:v>
                </c:pt>
                <c:pt idx="2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26240"/>
        <c:axId val="211368576"/>
      </c:scatterChart>
      <c:valAx>
        <c:axId val="25202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v</a:t>
                </a:r>
                <a:r>
                  <a:rPr lang="sr-Latn-BA" baseline="0"/>
                  <a:t> [m/s]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11368576"/>
        <c:crosses val="autoZero"/>
        <c:crossBetween val="midCat"/>
      </c:valAx>
      <c:valAx>
        <c:axId val="211368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sr-Latn-BA"/>
                  <a:t>P</a:t>
                </a:r>
                <a:r>
                  <a:rPr lang="sr-Latn-BA" baseline="0"/>
                  <a:t> [kW]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52026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'Tehnički proračun'!$C$12</c:f>
              <c:strCache>
                <c:ptCount val="1"/>
                <c:pt idx="0">
                  <c:v>t [h/god]</c:v>
                </c:pt>
              </c:strCache>
            </c:strRef>
          </c:tx>
          <c:marker>
            <c:symbol val="none"/>
          </c:marker>
          <c:xVal>
            <c:numRef>
              <c:f>'Tehnički proračun'!$A$13:$A$39</c:f>
              <c:numCache>
                <c:formatCode>0.00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'Tehnički proračun'!$C$13:$C$39</c:f>
              <c:numCache>
                <c:formatCode>0.00</c:formatCode>
                <c:ptCount val="27"/>
                <c:pt idx="0">
                  <c:v>0</c:v>
                </c:pt>
                <c:pt idx="1">
                  <c:v>281.1684239494582</c:v>
                </c:pt>
                <c:pt idx="2">
                  <c:v>500.61239849244112</c:v>
                </c:pt>
                <c:pt idx="3">
                  <c:v>669.3519899215961</c:v>
                </c:pt>
                <c:pt idx="4">
                  <c:v>784.01285196217168</c:v>
                </c:pt>
                <c:pt idx="5">
                  <c:v>844.59529319868511</c:v>
                </c:pt>
                <c:pt idx="6">
                  <c:v>855.35926697474645</c:v>
                </c:pt>
                <c:pt idx="7">
                  <c:v>824.07242265176876</c:v>
                </c:pt>
                <c:pt idx="8">
                  <c:v>760.70229010900391</c:v>
                </c:pt>
                <c:pt idx="9">
                  <c:v>675.99006250587945</c:v>
                </c:pt>
                <c:pt idx="10">
                  <c:v>580.18141378053622</c:v>
                </c:pt>
                <c:pt idx="11">
                  <c:v>482.0810268107121</c:v>
                </c:pt>
                <c:pt idx="12">
                  <c:v>388.49903336020316</c:v>
                </c:pt>
                <c:pt idx="13">
                  <c:v>304.07488291724798</c:v>
                </c:pt>
                <c:pt idx="14">
                  <c:v>231.40644284092642</c:v>
                </c:pt>
                <c:pt idx="15">
                  <c:v>171.38310076128698</c:v>
                </c:pt>
                <c:pt idx="16">
                  <c:v>123.61862857374544</c:v>
                </c:pt>
                <c:pt idx="17">
                  <c:v>86.895471234897485</c:v>
                </c:pt>
                <c:pt idx="18">
                  <c:v>59.558143403287659</c:v>
                </c:pt>
                <c:pt idx="19">
                  <c:v>39.82147634639162</c:v>
                </c:pt>
                <c:pt idx="20">
                  <c:v>25.983720906091943</c:v>
                </c:pt>
                <c:pt idx="21">
                  <c:v>16.551891139662803</c:v>
                </c:pt>
                <c:pt idx="22">
                  <c:v>10.296587560745563</c:v>
                </c:pt>
                <c:pt idx="23">
                  <c:v>6.2569264489822984</c:v>
                </c:pt>
                <c:pt idx="24">
                  <c:v>3.7150205881605807</c:v>
                </c:pt>
                <c:pt idx="25">
                  <c:v>2.1557275415812316</c:v>
                </c:pt>
                <c:pt idx="26">
                  <c:v>1.2227850692589657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17280"/>
        <c:axId val="52815744"/>
      </c:scatterChart>
      <c:valAx>
        <c:axId val="5281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r-Latn-BA"/>
                  <a:t>v</a:t>
                </a:r>
                <a:r>
                  <a:rPr lang="sr-Latn-BA" baseline="0"/>
                  <a:t> [m/s]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52815744"/>
        <c:crosses val="autoZero"/>
        <c:crossBetween val="midCat"/>
      </c:valAx>
      <c:valAx>
        <c:axId val="52815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sr-Latn-BA"/>
                  <a:t>t</a:t>
                </a:r>
                <a:r>
                  <a:rPr lang="sr-Latn-BA" baseline="0"/>
                  <a:t> [h/god]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528172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42</xdr:row>
      <xdr:rowOff>52387</xdr:rowOff>
    </xdr:from>
    <xdr:to>
      <xdr:col>7</xdr:col>
      <xdr:colOff>352425</xdr:colOff>
      <xdr:row>56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409575</xdr:colOff>
      <xdr:row>42</xdr:row>
      <xdr:rowOff>28575</xdr:rowOff>
    </xdr:from>
    <xdr:to>
      <xdr:col>15</xdr:col>
      <xdr:colOff>104775</xdr:colOff>
      <xdr:row>56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B1" workbookViewId="0">
      <selection activeCell="I9" sqref="I9"/>
    </sheetView>
  </sheetViews>
  <sheetFormatPr defaultRowHeight="15" x14ac:dyDescent="0.25"/>
  <cols>
    <col min="1" max="1" width="7.28515625" bestFit="1" customWidth="1"/>
    <col min="3" max="3" width="8.85546875" bestFit="1" customWidth="1"/>
    <col min="5" max="5" width="9.5703125" bestFit="1" customWidth="1"/>
    <col min="7" max="7" width="12" bestFit="1" customWidth="1"/>
    <col min="10" max="10" width="9.42578125" bestFit="1" customWidth="1"/>
  </cols>
  <sheetData>
    <row r="1" spans="1:12" x14ac:dyDescent="0.25">
      <c r="A1" s="2" t="s">
        <v>0</v>
      </c>
      <c r="B1" s="2"/>
      <c r="C1" s="2"/>
      <c r="H1" s="2" t="s">
        <v>11</v>
      </c>
      <c r="I1" s="2"/>
      <c r="J1" s="2"/>
      <c r="L1" s="1"/>
    </row>
    <row r="2" spans="1:12" ht="18.75" x14ac:dyDescent="0.35">
      <c r="A2" t="s">
        <v>29</v>
      </c>
      <c r="B2">
        <v>1.3</v>
      </c>
      <c r="C2" t="s">
        <v>1</v>
      </c>
      <c r="H2" t="s">
        <v>12</v>
      </c>
      <c r="I2" s="7">
        <f>0.5*B6*I3^3</f>
        <v>526.90241671918739</v>
      </c>
      <c r="J2" t="s">
        <v>13</v>
      </c>
    </row>
    <row r="3" spans="1:12" ht="18" x14ac:dyDescent="0.35">
      <c r="A3" t="s">
        <v>2</v>
      </c>
      <c r="B3">
        <v>60</v>
      </c>
      <c r="C3" t="s">
        <v>3</v>
      </c>
      <c r="H3" t="s">
        <v>14</v>
      </c>
      <c r="I3" s="7">
        <f>(SUM(E13:E39)/SUM(C13:C39))^(1/3)</f>
        <v>9.510602543432551</v>
      </c>
      <c r="J3" t="s">
        <v>15</v>
      </c>
    </row>
    <row r="4" spans="1:12" ht="18" x14ac:dyDescent="0.35">
      <c r="A4" t="s">
        <v>4</v>
      </c>
      <c r="B4">
        <v>1.9</v>
      </c>
      <c r="H4" t="s">
        <v>18</v>
      </c>
      <c r="I4" s="7">
        <f>(I2*B7)/1000</f>
        <v>1489.7814853713362</v>
      </c>
      <c r="J4" t="s">
        <v>19</v>
      </c>
    </row>
    <row r="5" spans="1:12" ht="18" x14ac:dyDescent="0.35">
      <c r="A5" t="s">
        <v>5</v>
      </c>
      <c r="B5">
        <v>8.4890000000000008</v>
      </c>
      <c r="H5" t="s">
        <v>16</v>
      </c>
      <c r="I5" s="6">
        <f>SUM(F13:F39)/1000000</f>
        <v>3.7134788556885492</v>
      </c>
      <c r="J5" t="s">
        <v>17</v>
      </c>
    </row>
    <row r="6" spans="1:12" ht="18.75" x14ac:dyDescent="0.35">
      <c r="A6" s="3" t="s">
        <v>8</v>
      </c>
      <c r="B6">
        <v>1.2250000000000001</v>
      </c>
      <c r="C6" t="s">
        <v>9</v>
      </c>
      <c r="H6" t="s">
        <v>23</v>
      </c>
      <c r="I6" s="6">
        <f>I4*SUM(C13:C39)/1000000</f>
        <v>13.005147707631336</v>
      </c>
      <c r="J6" t="s">
        <v>17</v>
      </c>
    </row>
    <row r="7" spans="1:12" ht="17.25" x14ac:dyDescent="0.25">
      <c r="A7" t="s">
        <v>20</v>
      </c>
      <c r="B7">
        <f>(B3^2/4)*PI()</f>
        <v>2827.4333882308138</v>
      </c>
      <c r="C7" t="s">
        <v>21</v>
      </c>
      <c r="H7" s="3" t="s">
        <v>24</v>
      </c>
      <c r="I7" s="9">
        <f>I5/I6</f>
        <v>0.2855391525856722</v>
      </c>
    </row>
    <row r="8" spans="1:12" ht="18" x14ac:dyDescent="0.35">
      <c r="H8" t="s">
        <v>26</v>
      </c>
      <c r="I8" s="7">
        <f>SUM(G13:G39)/SUM(C13:C39)</f>
        <v>7.5543369543636141</v>
      </c>
      <c r="J8" t="s">
        <v>15</v>
      </c>
    </row>
    <row r="9" spans="1:12" x14ac:dyDescent="0.25">
      <c r="H9" t="s">
        <v>25</v>
      </c>
      <c r="I9" s="5">
        <f>0.087*I8-(B2*1000)/B3^2</f>
        <v>0.29611620391852328</v>
      </c>
    </row>
    <row r="12" spans="1:12" ht="18.75" x14ac:dyDescent="0.35">
      <c r="A12" t="s">
        <v>7</v>
      </c>
      <c r="B12" t="s">
        <v>6</v>
      </c>
      <c r="C12" t="s">
        <v>10</v>
      </c>
      <c r="E12" t="s">
        <v>27</v>
      </c>
      <c r="F12" t="s">
        <v>22</v>
      </c>
      <c r="G12" t="s">
        <v>28</v>
      </c>
    </row>
    <row r="13" spans="1:12" x14ac:dyDescent="0.25">
      <c r="A13" s="7">
        <v>0</v>
      </c>
      <c r="B13" s="7">
        <v>0</v>
      </c>
      <c r="C13" s="7">
        <f>WEIBULL(A13,$B$4,$B$5,0)*8760</f>
        <v>0</v>
      </c>
      <c r="E13" s="7">
        <f>A13^3*C13</f>
        <v>0</v>
      </c>
      <c r="F13">
        <f>B13*C13</f>
        <v>0</v>
      </c>
      <c r="G13" s="7">
        <f>A13*C13</f>
        <v>0</v>
      </c>
    </row>
    <row r="14" spans="1:12" x14ac:dyDescent="0.25">
      <c r="A14" s="7">
        <v>1</v>
      </c>
      <c r="B14" s="7">
        <v>0</v>
      </c>
      <c r="C14" s="7">
        <f t="shared" ref="C14:C39" si="0">WEIBULL(A14,$B$4,$B$5,0)*8760</f>
        <v>281.1684239494582</v>
      </c>
      <c r="E14" s="7">
        <f t="shared" ref="E14:E39" si="1">A14^3*C14</f>
        <v>281.1684239494582</v>
      </c>
      <c r="F14">
        <f t="shared" ref="F14:F39" si="2">B14*C14</f>
        <v>0</v>
      </c>
      <c r="G14" s="7">
        <f t="shared" ref="G14:G39" si="3">A14*C14</f>
        <v>281.1684239494582</v>
      </c>
    </row>
    <row r="15" spans="1:12" x14ac:dyDescent="0.25">
      <c r="A15" s="7">
        <v>2</v>
      </c>
      <c r="B15" s="7">
        <v>0</v>
      </c>
      <c r="C15" s="7">
        <f t="shared" si="0"/>
        <v>500.61239849244112</v>
      </c>
      <c r="E15" s="7">
        <f t="shared" si="1"/>
        <v>4004.8991879395289</v>
      </c>
      <c r="F15">
        <f t="shared" si="2"/>
        <v>0</v>
      </c>
      <c r="G15" s="7">
        <f t="shared" si="3"/>
        <v>1001.2247969848822</v>
      </c>
    </row>
    <row r="16" spans="1:12" x14ac:dyDescent="0.25">
      <c r="A16" s="7">
        <v>3</v>
      </c>
      <c r="B16" s="7">
        <v>0</v>
      </c>
      <c r="C16" s="7">
        <f t="shared" si="0"/>
        <v>669.3519899215961</v>
      </c>
      <c r="E16" s="7">
        <f t="shared" si="1"/>
        <v>18072.503727883093</v>
      </c>
      <c r="F16">
        <f t="shared" si="2"/>
        <v>0</v>
      </c>
      <c r="G16" s="7">
        <f t="shared" si="3"/>
        <v>2008.0559697647882</v>
      </c>
    </row>
    <row r="17" spans="1:7" x14ac:dyDescent="0.25">
      <c r="A17" s="7">
        <v>4</v>
      </c>
      <c r="B17" s="7">
        <v>25</v>
      </c>
      <c r="C17" s="7">
        <f t="shared" si="0"/>
        <v>784.01285196217168</v>
      </c>
      <c r="E17" s="7">
        <f t="shared" si="1"/>
        <v>50176.822525578988</v>
      </c>
      <c r="F17">
        <f t="shared" si="2"/>
        <v>19600.321299054292</v>
      </c>
      <c r="G17" s="7">
        <f t="shared" si="3"/>
        <v>3136.0514078486867</v>
      </c>
    </row>
    <row r="18" spans="1:7" x14ac:dyDescent="0.25">
      <c r="A18" s="7">
        <v>5</v>
      </c>
      <c r="B18" s="7">
        <v>78</v>
      </c>
      <c r="C18" s="7">
        <f t="shared" si="0"/>
        <v>844.59529319868511</v>
      </c>
      <c r="E18" s="7">
        <f t="shared" si="1"/>
        <v>105574.41164983565</v>
      </c>
      <c r="F18">
        <f t="shared" si="2"/>
        <v>65878.432869497439</v>
      </c>
      <c r="G18" s="7">
        <f t="shared" si="3"/>
        <v>4222.9764659934253</v>
      </c>
    </row>
    <row r="19" spans="1:7" x14ac:dyDescent="0.25">
      <c r="A19" s="7">
        <v>6</v>
      </c>
      <c r="B19" s="7">
        <v>150</v>
      </c>
      <c r="C19" s="7">
        <f t="shared" si="0"/>
        <v>855.35926697474645</v>
      </c>
      <c r="E19" s="7">
        <f t="shared" si="1"/>
        <v>184757.60166654523</v>
      </c>
      <c r="F19">
        <f t="shared" si="2"/>
        <v>128303.89004621196</v>
      </c>
      <c r="G19" s="7">
        <f t="shared" si="3"/>
        <v>5132.1556018484789</v>
      </c>
    </row>
    <row r="20" spans="1:7" x14ac:dyDescent="0.25">
      <c r="A20" s="7">
        <v>7</v>
      </c>
      <c r="B20" s="7">
        <v>234</v>
      </c>
      <c r="C20" s="7">
        <f t="shared" si="0"/>
        <v>824.07242265176876</v>
      </c>
      <c r="E20" s="7">
        <f t="shared" si="1"/>
        <v>282656.84096955671</v>
      </c>
      <c r="F20">
        <f t="shared" si="2"/>
        <v>192832.9469005139</v>
      </c>
      <c r="G20" s="7">
        <f t="shared" si="3"/>
        <v>5768.5069585623814</v>
      </c>
    </row>
    <row r="21" spans="1:7" x14ac:dyDescent="0.25">
      <c r="A21" s="7">
        <v>8</v>
      </c>
      <c r="B21" s="7">
        <v>381</v>
      </c>
      <c r="C21" s="7">
        <f t="shared" si="0"/>
        <v>760.70229010900391</v>
      </c>
      <c r="E21" s="7">
        <f t="shared" si="1"/>
        <v>389479.57253581</v>
      </c>
      <c r="F21">
        <f t="shared" si="2"/>
        <v>289827.57253153052</v>
      </c>
      <c r="G21" s="7">
        <f t="shared" si="3"/>
        <v>6085.6183208720313</v>
      </c>
    </row>
    <row r="22" spans="1:7" x14ac:dyDescent="0.25">
      <c r="A22" s="7">
        <v>9</v>
      </c>
      <c r="B22" s="7">
        <v>557</v>
      </c>
      <c r="C22" s="7">
        <f t="shared" si="0"/>
        <v>675.99006250587945</v>
      </c>
      <c r="E22" s="7">
        <f t="shared" si="1"/>
        <v>492796.7555667861</v>
      </c>
      <c r="F22">
        <f t="shared" si="2"/>
        <v>376526.46481577487</v>
      </c>
      <c r="G22" s="7">
        <f t="shared" si="3"/>
        <v>6083.9105625529155</v>
      </c>
    </row>
    <row r="23" spans="1:7" x14ac:dyDescent="0.25">
      <c r="A23" s="7">
        <v>10</v>
      </c>
      <c r="B23" s="7">
        <v>752</v>
      </c>
      <c r="C23" s="7">
        <f t="shared" si="0"/>
        <v>580.18141378053622</v>
      </c>
      <c r="E23" s="7">
        <f t="shared" si="1"/>
        <v>580181.41378053627</v>
      </c>
      <c r="F23">
        <f t="shared" si="2"/>
        <v>436296.42316296324</v>
      </c>
      <c r="G23" s="7">
        <f t="shared" si="3"/>
        <v>5801.8141378053624</v>
      </c>
    </row>
    <row r="24" spans="1:7" x14ac:dyDescent="0.25">
      <c r="A24" s="7">
        <v>11</v>
      </c>
      <c r="B24" s="7">
        <v>926</v>
      </c>
      <c r="C24" s="7">
        <f t="shared" si="0"/>
        <v>482.0810268107121</v>
      </c>
      <c r="E24" s="7">
        <f t="shared" si="1"/>
        <v>641649.84668505786</v>
      </c>
      <c r="F24">
        <f t="shared" si="2"/>
        <v>446407.03082671942</v>
      </c>
      <c r="G24" s="7">
        <f t="shared" si="3"/>
        <v>5302.891294917833</v>
      </c>
    </row>
    <row r="25" spans="1:7" x14ac:dyDescent="0.25">
      <c r="A25" s="7">
        <v>12</v>
      </c>
      <c r="B25" s="7">
        <v>1050</v>
      </c>
      <c r="C25" s="7">
        <f t="shared" si="0"/>
        <v>388.49903336020316</v>
      </c>
      <c r="E25" s="7">
        <f t="shared" si="1"/>
        <v>671326.32964643103</v>
      </c>
      <c r="F25">
        <f t="shared" si="2"/>
        <v>407923.9850282133</v>
      </c>
      <c r="G25" s="7">
        <f t="shared" si="3"/>
        <v>4661.9884003224379</v>
      </c>
    </row>
    <row r="26" spans="1:7" x14ac:dyDescent="0.25">
      <c r="A26" s="7">
        <v>13</v>
      </c>
      <c r="B26" s="7">
        <v>1159</v>
      </c>
      <c r="C26" s="7">
        <f t="shared" si="0"/>
        <v>304.07488291724798</v>
      </c>
      <c r="E26" s="7">
        <f t="shared" si="1"/>
        <v>668052.51776919386</v>
      </c>
      <c r="F26">
        <f t="shared" si="2"/>
        <v>352422.78930109041</v>
      </c>
      <c r="G26" s="7">
        <f t="shared" si="3"/>
        <v>3952.9734779242235</v>
      </c>
    </row>
    <row r="27" spans="1:7" x14ac:dyDescent="0.25">
      <c r="A27" s="7">
        <v>14</v>
      </c>
      <c r="B27" s="7">
        <v>1249</v>
      </c>
      <c r="C27" s="7">
        <f t="shared" si="0"/>
        <v>231.40644284092642</v>
      </c>
      <c r="E27" s="7">
        <f t="shared" si="1"/>
        <v>634979.2791555021</v>
      </c>
      <c r="F27">
        <f t="shared" si="2"/>
        <v>289026.64710831712</v>
      </c>
      <c r="G27" s="7">
        <f t="shared" si="3"/>
        <v>3239.6901997729697</v>
      </c>
    </row>
    <row r="28" spans="1:7" x14ac:dyDescent="0.25">
      <c r="A28" s="7">
        <v>15</v>
      </c>
      <c r="B28" s="7">
        <v>1301</v>
      </c>
      <c r="C28" s="7">
        <f t="shared" si="0"/>
        <v>171.38310076128698</v>
      </c>
      <c r="E28" s="7">
        <f t="shared" si="1"/>
        <v>578417.96506934357</v>
      </c>
      <c r="F28">
        <f t="shared" si="2"/>
        <v>222969.41409043435</v>
      </c>
      <c r="G28" s="7">
        <f t="shared" si="3"/>
        <v>2570.7465114193046</v>
      </c>
    </row>
    <row r="29" spans="1:7" x14ac:dyDescent="0.25">
      <c r="A29" s="7">
        <v>16</v>
      </c>
      <c r="B29" s="7">
        <v>1306</v>
      </c>
      <c r="C29" s="7">
        <f t="shared" si="0"/>
        <v>123.61862857374544</v>
      </c>
      <c r="E29" s="7">
        <f t="shared" si="1"/>
        <v>506341.90263806132</v>
      </c>
      <c r="F29">
        <f t="shared" si="2"/>
        <v>161445.92891731154</v>
      </c>
      <c r="G29" s="7">
        <f t="shared" si="3"/>
        <v>1977.898057179927</v>
      </c>
    </row>
    <row r="30" spans="1:7" x14ac:dyDescent="0.25">
      <c r="A30" s="7">
        <v>17</v>
      </c>
      <c r="B30" s="7">
        <v>1292</v>
      </c>
      <c r="C30" s="7">
        <f t="shared" si="0"/>
        <v>86.895471234897485</v>
      </c>
      <c r="E30" s="7">
        <f t="shared" si="1"/>
        <v>426917.45017705136</v>
      </c>
      <c r="F30">
        <f t="shared" si="2"/>
        <v>112268.94883548755</v>
      </c>
      <c r="G30" s="7">
        <f t="shared" si="3"/>
        <v>1477.2230109932573</v>
      </c>
    </row>
    <row r="31" spans="1:7" x14ac:dyDescent="0.25">
      <c r="A31" s="7">
        <v>18</v>
      </c>
      <c r="B31" s="7">
        <v>1283</v>
      </c>
      <c r="C31" s="7">
        <f t="shared" si="0"/>
        <v>59.558143403287659</v>
      </c>
      <c r="E31" s="7">
        <f t="shared" si="1"/>
        <v>347343.09232797363</v>
      </c>
      <c r="F31">
        <f t="shared" si="2"/>
        <v>76413.09798641807</v>
      </c>
      <c r="G31" s="7">
        <f t="shared" si="3"/>
        <v>1072.0465812591779</v>
      </c>
    </row>
    <row r="32" spans="1:7" x14ac:dyDescent="0.25">
      <c r="A32" s="7">
        <v>19</v>
      </c>
      <c r="B32" s="7">
        <v>1282</v>
      </c>
      <c r="C32" s="7">
        <f t="shared" si="0"/>
        <v>39.82147634639162</v>
      </c>
      <c r="E32" s="7">
        <f t="shared" si="1"/>
        <v>273135.50625990011</v>
      </c>
      <c r="F32">
        <f t="shared" si="2"/>
        <v>51051.132676074056</v>
      </c>
      <c r="G32" s="7">
        <f t="shared" si="3"/>
        <v>756.60805058144081</v>
      </c>
    </row>
    <row r="33" spans="1:7" x14ac:dyDescent="0.25">
      <c r="A33" s="7">
        <v>20</v>
      </c>
      <c r="B33" s="7">
        <v>1288</v>
      </c>
      <c r="C33" s="7">
        <f t="shared" si="0"/>
        <v>25.983720906091943</v>
      </c>
      <c r="E33" s="7">
        <f t="shared" si="1"/>
        <v>207869.76724873553</v>
      </c>
      <c r="F33">
        <f t="shared" si="2"/>
        <v>33467.032527046424</v>
      </c>
      <c r="G33" s="7">
        <f t="shared" si="3"/>
        <v>519.67441812183881</v>
      </c>
    </row>
    <row r="34" spans="1:7" x14ac:dyDescent="0.25">
      <c r="A34" s="7">
        <v>21</v>
      </c>
      <c r="B34" s="7">
        <v>1292</v>
      </c>
      <c r="C34" s="7">
        <f t="shared" si="0"/>
        <v>16.551891139662803</v>
      </c>
      <c r="E34" s="7">
        <f t="shared" si="1"/>
        <v>153287.06384441722</v>
      </c>
      <c r="F34">
        <f t="shared" si="2"/>
        <v>21385.043352444343</v>
      </c>
      <c r="G34" s="7">
        <f t="shared" si="3"/>
        <v>347.58971393291887</v>
      </c>
    </row>
    <row r="35" spans="1:7" x14ac:dyDescent="0.25">
      <c r="A35" s="7">
        <v>22</v>
      </c>
      <c r="B35" s="7">
        <v>1300</v>
      </c>
      <c r="C35" s="7">
        <f t="shared" si="0"/>
        <v>10.296587560745563</v>
      </c>
      <c r="E35" s="7">
        <f t="shared" si="1"/>
        <v>109638.06434681875</v>
      </c>
      <c r="F35">
        <f t="shared" si="2"/>
        <v>13385.563828969231</v>
      </c>
      <c r="G35" s="7">
        <f t="shared" si="3"/>
        <v>226.52492633640239</v>
      </c>
    </row>
    <row r="36" spans="1:7" x14ac:dyDescent="0.25">
      <c r="A36" s="7">
        <v>23</v>
      </c>
      <c r="B36" s="7">
        <v>1313</v>
      </c>
      <c r="C36" s="7">
        <f t="shared" si="0"/>
        <v>6.2569264489822984</v>
      </c>
      <c r="E36" s="7">
        <f t="shared" si="1"/>
        <v>76128.024104767625</v>
      </c>
      <c r="F36">
        <f t="shared" si="2"/>
        <v>8215.3444275137572</v>
      </c>
      <c r="G36" s="7">
        <f t="shared" si="3"/>
        <v>143.90930832659285</v>
      </c>
    </row>
    <row r="37" spans="1:7" x14ac:dyDescent="0.25">
      <c r="A37" s="7">
        <v>24</v>
      </c>
      <c r="B37" s="7">
        <v>1328</v>
      </c>
      <c r="C37" s="7">
        <f t="shared" si="0"/>
        <v>3.7150205881605807</v>
      </c>
      <c r="E37" s="7">
        <f t="shared" si="1"/>
        <v>51356.444610731865</v>
      </c>
      <c r="F37">
        <f t="shared" si="2"/>
        <v>4933.5473410772511</v>
      </c>
      <c r="G37" s="7">
        <f t="shared" si="3"/>
        <v>89.160494115853936</v>
      </c>
    </row>
    <row r="38" spans="1:7" x14ac:dyDescent="0.25">
      <c r="A38" s="7">
        <v>25</v>
      </c>
      <c r="B38" s="7">
        <v>1344</v>
      </c>
      <c r="C38" s="7">
        <f t="shared" si="0"/>
        <v>2.1557275415812316</v>
      </c>
      <c r="E38" s="7">
        <f t="shared" si="1"/>
        <v>33683.242837206744</v>
      </c>
      <c r="F38">
        <f t="shared" si="2"/>
        <v>2897.2978158851752</v>
      </c>
      <c r="G38" s="7">
        <f t="shared" si="3"/>
        <v>53.89318853953079</v>
      </c>
    </row>
    <row r="39" spans="1:7" x14ac:dyDescent="0.25">
      <c r="A39" s="7">
        <v>26</v>
      </c>
      <c r="B39" s="7">
        <v>0</v>
      </c>
      <c r="C39" s="7">
        <f t="shared" si="0"/>
        <v>1.2227850692589657</v>
      </c>
      <c r="E39" s="7">
        <f t="shared" si="1"/>
        <v>21491.670377295581</v>
      </c>
      <c r="F39">
        <f t="shared" si="2"/>
        <v>0</v>
      </c>
      <c r="G39" s="7">
        <f t="shared" si="3"/>
        <v>31.792411800733106</v>
      </c>
    </row>
  </sheetData>
  <mergeCells count="2">
    <mergeCell ref="A1:C1"/>
    <mergeCell ref="H1:J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D11" workbookViewId="0">
      <selection activeCell="I35" sqref="I35"/>
    </sheetView>
  </sheetViews>
  <sheetFormatPr defaultRowHeight="15" x14ac:dyDescent="0.25"/>
  <cols>
    <col min="1" max="1" width="19.140625" bestFit="1" customWidth="1"/>
    <col min="2" max="2" width="16.5703125" bestFit="1" customWidth="1"/>
    <col min="3" max="3" width="15" bestFit="1" customWidth="1"/>
    <col min="4" max="4" width="16.42578125" bestFit="1" customWidth="1"/>
    <col min="5" max="5" width="15" bestFit="1" customWidth="1"/>
    <col min="6" max="6" width="17.5703125" bestFit="1" customWidth="1"/>
    <col min="7" max="7" width="15.85546875" bestFit="1" customWidth="1"/>
    <col min="8" max="8" width="19.42578125" customWidth="1"/>
    <col min="9" max="9" width="11.5703125" bestFit="1" customWidth="1"/>
  </cols>
  <sheetData>
    <row r="1" spans="1:11" x14ac:dyDescent="0.25">
      <c r="A1" s="2" t="s">
        <v>0</v>
      </c>
      <c r="B1" s="2"/>
      <c r="C1" s="2"/>
      <c r="E1" s="14"/>
      <c r="F1" s="14"/>
      <c r="G1" s="14"/>
      <c r="I1" s="2"/>
      <c r="J1" s="2"/>
      <c r="K1" s="2"/>
    </row>
    <row r="2" spans="1:11" x14ac:dyDescent="0.25">
      <c r="A2" t="s">
        <v>30</v>
      </c>
      <c r="B2" s="10">
        <v>3500</v>
      </c>
      <c r="C2" t="s">
        <v>31</v>
      </c>
      <c r="J2" s="7"/>
    </row>
    <row r="3" spans="1:11" x14ac:dyDescent="0.25">
      <c r="A3" t="s">
        <v>32</v>
      </c>
      <c r="B3" s="11">
        <f>B2*'Tehnički proračun'!B2*1000</f>
        <v>4550000</v>
      </c>
      <c r="C3" t="s">
        <v>33</v>
      </c>
      <c r="J3" s="7"/>
    </row>
    <row r="4" spans="1:11" x14ac:dyDescent="0.25">
      <c r="A4" t="s">
        <v>34</v>
      </c>
      <c r="B4" s="11">
        <f>0.01*B3</f>
        <v>45500</v>
      </c>
      <c r="C4" t="s">
        <v>33</v>
      </c>
      <c r="J4" s="7"/>
    </row>
    <row r="5" spans="1:11" x14ac:dyDescent="0.25">
      <c r="A5" t="s">
        <v>35</v>
      </c>
      <c r="B5">
        <v>20</v>
      </c>
      <c r="C5" t="s">
        <v>36</v>
      </c>
      <c r="J5" s="6"/>
    </row>
    <row r="6" spans="1:11" x14ac:dyDescent="0.25">
      <c r="A6" t="s">
        <v>37</v>
      </c>
      <c r="B6">
        <v>1</v>
      </c>
      <c r="C6" t="s">
        <v>36</v>
      </c>
      <c r="E6" s="3"/>
      <c r="J6" s="6"/>
    </row>
    <row r="7" spans="1:11" x14ac:dyDescent="0.25">
      <c r="A7" t="s">
        <v>38</v>
      </c>
      <c r="B7" s="8">
        <v>6.8000000000000005E-2</v>
      </c>
      <c r="I7" s="3"/>
      <c r="J7" s="9"/>
    </row>
    <row r="8" spans="1:11" x14ac:dyDescent="0.25">
      <c r="A8" t="s">
        <v>43</v>
      </c>
      <c r="B8" s="7">
        <f>-PMT(B7,B5-B6,B15)</f>
        <v>463133.5544647408</v>
      </c>
      <c r="C8" t="s">
        <v>33</v>
      </c>
      <c r="J8" s="7"/>
    </row>
    <row r="9" spans="1:11" x14ac:dyDescent="0.25">
      <c r="A9" t="s">
        <v>49</v>
      </c>
      <c r="B9" s="11">
        <f>B8+B4</f>
        <v>508633.5544647408</v>
      </c>
      <c r="C9" t="s">
        <v>33</v>
      </c>
      <c r="J9" s="5"/>
    </row>
    <row r="10" spans="1:11" x14ac:dyDescent="0.25">
      <c r="A10" t="s">
        <v>50</v>
      </c>
      <c r="B10" s="4">
        <f>B9/('Tehnički proračun'!I5*1000000)</f>
        <v>0.13696955718101983</v>
      </c>
      <c r="C10" t="s">
        <v>51</v>
      </c>
    </row>
    <row r="13" spans="1:11" ht="30" x14ac:dyDescent="0.25">
      <c r="A13" s="12" t="s">
        <v>39</v>
      </c>
      <c r="B13" s="12" t="s">
        <v>40</v>
      </c>
      <c r="C13" s="12" t="s">
        <v>41</v>
      </c>
      <c r="D13" s="12" t="s">
        <v>42</v>
      </c>
      <c r="E13" s="12" t="s">
        <v>44</v>
      </c>
      <c r="F13" s="13" t="s">
        <v>48</v>
      </c>
      <c r="G13" s="12" t="s">
        <v>45</v>
      </c>
      <c r="H13" s="13" t="s">
        <v>46</v>
      </c>
      <c r="I13" s="12" t="s">
        <v>47</v>
      </c>
    </row>
    <row r="14" spans="1:11" x14ac:dyDescent="0.25">
      <c r="A14" s="12">
        <v>1</v>
      </c>
      <c r="B14" s="15">
        <f>B3</f>
        <v>4550000</v>
      </c>
      <c r="C14" s="15">
        <f>$B$7*B14</f>
        <v>309400</v>
      </c>
      <c r="D14" s="12">
        <v>0</v>
      </c>
      <c r="E14" s="15">
        <f>D14-C14</f>
        <v>-309400</v>
      </c>
      <c r="F14" s="12">
        <v>0</v>
      </c>
      <c r="G14" s="12">
        <v>0</v>
      </c>
      <c r="H14" s="12">
        <v>0</v>
      </c>
      <c r="I14" s="12">
        <v>0</v>
      </c>
    </row>
    <row r="15" spans="1:11" x14ac:dyDescent="0.25">
      <c r="A15" s="12">
        <v>2</v>
      </c>
      <c r="B15" s="15">
        <f>B14-E14</f>
        <v>4859400</v>
      </c>
      <c r="C15" s="15">
        <f t="shared" ref="C15:C35" si="0">$B$7*B15</f>
        <v>330439.2</v>
      </c>
      <c r="D15" s="16">
        <f>$B$8</f>
        <v>463133.5544647408</v>
      </c>
      <c r="E15" s="15">
        <f t="shared" ref="E15:E35" si="1">D15-C15</f>
        <v>132694.35446474078</v>
      </c>
      <c r="F15" s="16">
        <f>'Tehnički proračun'!$I$5*1000000</f>
        <v>3713478.8556885491</v>
      </c>
      <c r="G15" s="15">
        <f>$B$4</f>
        <v>45500</v>
      </c>
      <c r="H15" s="16">
        <f>$B$10*F15</f>
        <v>508633.5544647408</v>
      </c>
      <c r="I15" s="15">
        <f>H15-G15-D15</f>
        <v>0</v>
      </c>
    </row>
    <row r="16" spans="1:11" x14ac:dyDescent="0.25">
      <c r="A16" s="12">
        <v>3</v>
      </c>
      <c r="B16" s="15">
        <f t="shared" ref="B16:B35" si="2">B15-E15</f>
        <v>4726705.6455352595</v>
      </c>
      <c r="C16" s="15">
        <f t="shared" si="0"/>
        <v>321415.98389639769</v>
      </c>
      <c r="D16" s="16">
        <f t="shared" ref="D16:D35" si="3">$B$8</f>
        <v>463133.5544647408</v>
      </c>
      <c r="E16" s="15">
        <f t="shared" si="1"/>
        <v>141717.5705683431</v>
      </c>
      <c r="F16" s="16">
        <f>'Tehnički proračun'!$I$5*1000000</f>
        <v>3713478.8556885491</v>
      </c>
      <c r="G16" s="15">
        <f t="shared" ref="G16:G35" si="4">$B$4</f>
        <v>45500</v>
      </c>
      <c r="H16" s="16">
        <f t="shared" ref="H16:H33" si="5">$B$10*F16</f>
        <v>508633.5544647408</v>
      </c>
      <c r="I16" s="15">
        <f t="shared" ref="I16:I33" si="6">H16-G16-D16</f>
        <v>0</v>
      </c>
    </row>
    <row r="17" spans="1:9" x14ac:dyDescent="0.25">
      <c r="A17" s="12">
        <v>4</v>
      </c>
      <c r="B17" s="15">
        <f t="shared" si="2"/>
        <v>4584988.0749669168</v>
      </c>
      <c r="C17" s="15">
        <f t="shared" si="0"/>
        <v>311779.18909775035</v>
      </c>
      <c r="D17" s="16">
        <f t="shared" si="3"/>
        <v>463133.5544647408</v>
      </c>
      <c r="E17" s="15">
        <f t="shared" si="1"/>
        <v>151354.36536699045</v>
      </c>
      <c r="F17" s="16">
        <f>'Tehnički proračun'!$I$5*1000000</f>
        <v>3713478.8556885491</v>
      </c>
      <c r="G17" s="15">
        <f t="shared" si="4"/>
        <v>45500</v>
      </c>
      <c r="H17" s="16">
        <f t="shared" si="5"/>
        <v>508633.5544647408</v>
      </c>
      <c r="I17" s="15">
        <f t="shared" si="6"/>
        <v>0</v>
      </c>
    </row>
    <row r="18" spans="1:9" x14ac:dyDescent="0.25">
      <c r="A18" s="12">
        <v>5</v>
      </c>
      <c r="B18" s="15">
        <f t="shared" si="2"/>
        <v>4433633.7095999261</v>
      </c>
      <c r="C18" s="15">
        <f t="shared" si="0"/>
        <v>301487.092252795</v>
      </c>
      <c r="D18" s="16">
        <f t="shared" si="3"/>
        <v>463133.5544647408</v>
      </c>
      <c r="E18" s="15">
        <f t="shared" si="1"/>
        <v>161646.46221194579</v>
      </c>
      <c r="F18" s="16">
        <f>'Tehnički proračun'!$I$5*1000000</f>
        <v>3713478.8556885491</v>
      </c>
      <c r="G18" s="15">
        <f t="shared" si="4"/>
        <v>45500</v>
      </c>
      <c r="H18" s="16">
        <f t="shared" si="5"/>
        <v>508633.5544647408</v>
      </c>
      <c r="I18" s="15">
        <f t="shared" si="6"/>
        <v>0</v>
      </c>
    </row>
    <row r="19" spans="1:9" x14ac:dyDescent="0.25">
      <c r="A19" s="12">
        <v>6</v>
      </c>
      <c r="B19" s="15">
        <f t="shared" si="2"/>
        <v>4271987.2473879801</v>
      </c>
      <c r="C19" s="15">
        <f t="shared" si="0"/>
        <v>290495.13282238267</v>
      </c>
      <c r="D19" s="16">
        <f t="shared" si="3"/>
        <v>463133.5544647408</v>
      </c>
      <c r="E19" s="15">
        <f t="shared" si="1"/>
        <v>172638.42164235812</v>
      </c>
      <c r="F19" s="16">
        <f>'Tehnički proračun'!$I$5*1000000</f>
        <v>3713478.8556885491</v>
      </c>
      <c r="G19" s="15">
        <f t="shared" si="4"/>
        <v>45500</v>
      </c>
      <c r="H19" s="16">
        <f t="shared" si="5"/>
        <v>508633.5544647408</v>
      </c>
      <c r="I19" s="15">
        <f t="shared" si="6"/>
        <v>0</v>
      </c>
    </row>
    <row r="20" spans="1:9" x14ac:dyDescent="0.25">
      <c r="A20" s="12">
        <v>7</v>
      </c>
      <c r="B20" s="15">
        <f t="shared" si="2"/>
        <v>4099348.8257456222</v>
      </c>
      <c r="C20" s="15">
        <f t="shared" si="0"/>
        <v>278755.72015070234</v>
      </c>
      <c r="D20" s="16">
        <f t="shared" si="3"/>
        <v>463133.5544647408</v>
      </c>
      <c r="E20" s="15">
        <f t="shared" si="1"/>
        <v>184377.83431403845</v>
      </c>
      <c r="F20" s="16">
        <f>'Tehnički proračun'!$I$5*1000000</f>
        <v>3713478.8556885491</v>
      </c>
      <c r="G20" s="15">
        <f t="shared" si="4"/>
        <v>45500</v>
      </c>
      <c r="H20" s="16">
        <f t="shared" si="5"/>
        <v>508633.5544647408</v>
      </c>
      <c r="I20" s="15">
        <f t="shared" si="6"/>
        <v>0</v>
      </c>
    </row>
    <row r="21" spans="1:9" x14ac:dyDescent="0.25">
      <c r="A21" s="12">
        <v>8</v>
      </c>
      <c r="B21" s="15">
        <f t="shared" si="2"/>
        <v>3914970.9914315837</v>
      </c>
      <c r="C21" s="15">
        <f t="shared" si="0"/>
        <v>266218.02741734771</v>
      </c>
      <c r="D21" s="16">
        <f t="shared" si="3"/>
        <v>463133.5544647408</v>
      </c>
      <c r="E21" s="15">
        <f t="shared" si="1"/>
        <v>196915.52704739309</v>
      </c>
      <c r="F21" s="16">
        <f>'Tehnički proračun'!$I$5*1000000</f>
        <v>3713478.8556885491</v>
      </c>
      <c r="G21" s="15">
        <f t="shared" si="4"/>
        <v>45500</v>
      </c>
      <c r="H21" s="16">
        <f t="shared" si="5"/>
        <v>508633.5544647408</v>
      </c>
      <c r="I21" s="15">
        <f t="shared" si="6"/>
        <v>0</v>
      </c>
    </row>
    <row r="22" spans="1:9" x14ac:dyDescent="0.25">
      <c r="A22" s="12">
        <v>9</v>
      </c>
      <c r="B22" s="15">
        <f t="shared" si="2"/>
        <v>3718055.4643841907</v>
      </c>
      <c r="C22" s="15">
        <f t="shared" si="0"/>
        <v>252827.77157812499</v>
      </c>
      <c r="D22" s="16">
        <f t="shared" si="3"/>
        <v>463133.5544647408</v>
      </c>
      <c r="E22" s="15">
        <f t="shared" si="1"/>
        <v>210305.78288661581</v>
      </c>
      <c r="F22" s="16">
        <f>'Tehnički proračun'!$I$5*1000000</f>
        <v>3713478.8556885491</v>
      </c>
      <c r="G22" s="15">
        <f t="shared" si="4"/>
        <v>45500</v>
      </c>
      <c r="H22" s="16">
        <f t="shared" si="5"/>
        <v>508633.5544647408</v>
      </c>
      <c r="I22" s="15">
        <f t="shared" si="6"/>
        <v>0</v>
      </c>
    </row>
    <row r="23" spans="1:9" x14ac:dyDescent="0.25">
      <c r="A23" s="12">
        <v>10</v>
      </c>
      <c r="B23" s="15">
        <f t="shared" si="2"/>
        <v>3507749.6814975748</v>
      </c>
      <c r="C23" s="15">
        <f t="shared" si="0"/>
        <v>238526.97834183511</v>
      </c>
      <c r="D23" s="16">
        <f t="shared" si="3"/>
        <v>463133.5544647408</v>
      </c>
      <c r="E23" s="15">
        <f t="shared" si="1"/>
        <v>224606.57612290568</v>
      </c>
      <c r="F23" s="16">
        <f>'Tehnički proračun'!$I$5*1000000</f>
        <v>3713478.8556885491</v>
      </c>
      <c r="G23" s="15">
        <f t="shared" si="4"/>
        <v>45500</v>
      </c>
      <c r="H23" s="16">
        <f t="shared" si="5"/>
        <v>508633.5544647408</v>
      </c>
      <c r="I23" s="15">
        <f t="shared" si="6"/>
        <v>0</v>
      </c>
    </row>
    <row r="24" spans="1:9" x14ac:dyDescent="0.25">
      <c r="A24" s="12">
        <v>11</v>
      </c>
      <c r="B24" s="15">
        <f t="shared" si="2"/>
        <v>3283143.1053746692</v>
      </c>
      <c r="C24" s="15">
        <f t="shared" si="0"/>
        <v>223253.73116547751</v>
      </c>
      <c r="D24" s="16">
        <f t="shared" si="3"/>
        <v>463133.5544647408</v>
      </c>
      <c r="E24" s="15">
        <f t="shared" si="1"/>
        <v>239879.82329926328</v>
      </c>
      <c r="F24" s="16">
        <f>'Tehnički proračun'!$I$5*1000000</f>
        <v>3713478.8556885491</v>
      </c>
      <c r="G24" s="15">
        <f t="shared" si="4"/>
        <v>45500</v>
      </c>
      <c r="H24" s="16">
        <f t="shared" si="5"/>
        <v>508633.5544647408</v>
      </c>
      <c r="I24" s="15">
        <f t="shared" si="6"/>
        <v>0</v>
      </c>
    </row>
    <row r="25" spans="1:9" x14ac:dyDescent="0.25">
      <c r="A25" s="12">
        <v>12</v>
      </c>
      <c r="B25" s="15">
        <f t="shared" si="2"/>
        <v>3043263.2820754061</v>
      </c>
      <c r="C25" s="15">
        <f t="shared" si="0"/>
        <v>206941.90318112762</v>
      </c>
      <c r="D25" s="16">
        <f t="shared" si="3"/>
        <v>463133.5544647408</v>
      </c>
      <c r="E25" s="15">
        <f t="shared" si="1"/>
        <v>256191.65128361317</v>
      </c>
      <c r="F25" s="16">
        <f>'Tehnički proračun'!$I$5*1000000</f>
        <v>3713478.8556885491</v>
      </c>
      <c r="G25" s="15">
        <f t="shared" si="4"/>
        <v>45500</v>
      </c>
      <c r="H25" s="16">
        <f t="shared" si="5"/>
        <v>508633.5544647408</v>
      </c>
      <c r="I25" s="15">
        <f t="shared" si="6"/>
        <v>0</v>
      </c>
    </row>
    <row r="26" spans="1:9" x14ac:dyDescent="0.25">
      <c r="A26" s="12">
        <v>13</v>
      </c>
      <c r="B26" s="15">
        <f t="shared" si="2"/>
        <v>2787071.6307917926</v>
      </c>
      <c r="C26" s="15">
        <f t="shared" si="0"/>
        <v>189520.8708938419</v>
      </c>
      <c r="D26" s="16">
        <f t="shared" si="3"/>
        <v>463133.5544647408</v>
      </c>
      <c r="E26" s="15">
        <f t="shared" si="1"/>
        <v>273612.68357089889</v>
      </c>
      <c r="F26" s="16">
        <f>'Tehnički proračun'!$I$5*1000000</f>
        <v>3713478.8556885491</v>
      </c>
      <c r="G26" s="15">
        <f t="shared" si="4"/>
        <v>45500</v>
      </c>
      <c r="H26" s="16">
        <f t="shared" si="5"/>
        <v>508633.5544647408</v>
      </c>
      <c r="I26" s="15">
        <f t="shared" si="6"/>
        <v>0</v>
      </c>
    </row>
    <row r="27" spans="1:9" x14ac:dyDescent="0.25">
      <c r="A27" s="12">
        <v>14</v>
      </c>
      <c r="B27" s="15">
        <f t="shared" si="2"/>
        <v>2513458.9472208936</v>
      </c>
      <c r="C27" s="15">
        <f t="shared" si="0"/>
        <v>170915.20841102078</v>
      </c>
      <c r="D27" s="16">
        <f t="shared" si="3"/>
        <v>463133.5544647408</v>
      </c>
      <c r="E27" s="15">
        <f t="shared" si="1"/>
        <v>292218.34605371999</v>
      </c>
      <c r="F27" s="16">
        <f>'Tehnički proračun'!$I$5*1000000</f>
        <v>3713478.8556885491</v>
      </c>
      <c r="G27" s="15">
        <f t="shared" si="4"/>
        <v>45500</v>
      </c>
      <c r="H27" s="16">
        <f t="shared" si="5"/>
        <v>508633.5544647408</v>
      </c>
      <c r="I27" s="15">
        <f t="shared" si="6"/>
        <v>0</v>
      </c>
    </row>
    <row r="28" spans="1:9" x14ac:dyDescent="0.25">
      <c r="A28" s="12">
        <v>15</v>
      </c>
      <c r="B28" s="15">
        <f t="shared" si="2"/>
        <v>2221240.6011671736</v>
      </c>
      <c r="C28" s="15">
        <f t="shared" si="0"/>
        <v>151044.36087936783</v>
      </c>
      <c r="D28" s="16">
        <f t="shared" si="3"/>
        <v>463133.5544647408</v>
      </c>
      <c r="E28" s="15">
        <f t="shared" si="1"/>
        <v>312089.193585373</v>
      </c>
      <c r="F28" s="16">
        <f>'Tehnički proračun'!$I$5*1000000</f>
        <v>3713478.8556885491</v>
      </c>
      <c r="G28" s="15">
        <f t="shared" si="4"/>
        <v>45500</v>
      </c>
      <c r="H28" s="16">
        <f t="shared" si="5"/>
        <v>508633.5544647408</v>
      </c>
      <c r="I28" s="15">
        <f t="shared" si="6"/>
        <v>0</v>
      </c>
    </row>
    <row r="29" spans="1:9" x14ac:dyDescent="0.25">
      <c r="A29" s="12">
        <v>16</v>
      </c>
      <c r="B29" s="15">
        <f t="shared" si="2"/>
        <v>1909151.4075818006</v>
      </c>
      <c r="C29" s="15">
        <f t="shared" si="0"/>
        <v>129822.29571556245</v>
      </c>
      <c r="D29" s="16">
        <f t="shared" si="3"/>
        <v>463133.5544647408</v>
      </c>
      <c r="E29" s="15">
        <f t="shared" si="1"/>
        <v>333311.25874917838</v>
      </c>
      <c r="F29" s="16">
        <f>'Tehnički proračun'!$I$5*1000000</f>
        <v>3713478.8556885491</v>
      </c>
      <c r="G29" s="15">
        <f t="shared" si="4"/>
        <v>45500</v>
      </c>
      <c r="H29" s="16">
        <f t="shared" si="5"/>
        <v>508633.5544647408</v>
      </c>
      <c r="I29" s="15">
        <f t="shared" si="6"/>
        <v>0</v>
      </c>
    </row>
    <row r="30" spans="1:9" x14ac:dyDescent="0.25">
      <c r="A30" s="12">
        <v>17</v>
      </c>
      <c r="B30" s="15">
        <f t="shared" si="2"/>
        <v>1575840.1488326222</v>
      </c>
      <c r="C30" s="15">
        <f t="shared" si="0"/>
        <v>107157.13012061831</v>
      </c>
      <c r="D30" s="16">
        <f t="shared" si="3"/>
        <v>463133.5544647408</v>
      </c>
      <c r="E30" s="15">
        <f t="shared" si="1"/>
        <v>355976.42434412247</v>
      </c>
      <c r="F30" s="16">
        <f>'Tehnički proračun'!$I$5*1000000</f>
        <v>3713478.8556885491</v>
      </c>
      <c r="G30" s="15">
        <f t="shared" si="4"/>
        <v>45500</v>
      </c>
      <c r="H30" s="16">
        <f t="shared" si="5"/>
        <v>508633.5544647408</v>
      </c>
      <c r="I30" s="15">
        <f t="shared" si="6"/>
        <v>0</v>
      </c>
    </row>
    <row r="31" spans="1:9" x14ac:dyDescent="0.25">
      <c r="A31" s="12">
        <v>18</v>
      </c>
      <c r="B31" s="15">
        <f t="shared" si="2"/>
        <v>1219863.7244884998</v>
      </c>
      <c r="C31" s="15">
        <f t="shared" si="0"/>
        <v>82950.73326521799</v>
      </c>
      <c r="D31" s="16">
        <f t="shared" si="3"/>
        <v>463133.5544647408</v>
      </c>
      <c r="E31" s="15">
        <f t="shared" si="1"/>
        <v>380182.82119952282</v>
      </c>
      <c r="F31" s="16">
        <f>'Tehnički proračun'!$I$5*1000000</f>
        <v>3713478.8556885491</v>
      </c>
      <c r="G31" s="15">
        <f t="shared" si="4"/>
        <v>45500</v>
      </c>
      <c r="H31" s="16">
        <f t="shared" si="5"/>
        <v>508633.5544647408</v>
      </c>
      <c r="I31" s="15">
        <f t="shared" si="6"/>
        <v>0</v>
      </c>
    </row>
    <row r="32" spans="1:9" x14ac:dyDescent="0.25">
      <c r="A32" s="12">
        <v>19</v>
      </c>
      <c r="B32" s="15">
        <f t="shared" si="2"/>
        <v>839680.90328897699</v>
      </c>
      <c r="C32" s="15">
        <f t="shared" si="0"/>
        <v>57098.301423650439</v>
      </c>
      <c r="D32" s="16">
        <f t="shared" si="3"/>
        <v>463133.5544647408</v>
      </c>
      <c r="E32" s="15">
        <f t="shared" si="1"/>
        <v>406035.25304109033</v>
      </c>
      <c r="F32" s="16">
        <f>'Tehnički proračun'!$I$5*1000000</f>
        <v>3713478.8556885491</v>
      </c>
      <c r="G32" s="15">
        <f t="shared" si="4"/>
        <v>45500</v>
      </c>
      <c r="H32" s="16">
        <f t="shared" si="5"/>
        <v>508633.5544647408</v>
      </c>
      <c r="I32" s="15">
        <f t="shared" si="6"/>
        <v>0</v>
      </c>
    </row>
    <row r="33" spans="1:9" x14ac:dyDescent="0.25">
      <c r="A33" s="12">
        <v>20</v>
      </c>
      <c r="B33" s="15">
        <f t="shared" si="2"/>
        <v>433645.65024788666</v>
      </c>
      <c r="C33" s="15">
        <f t="shared" si="0"/>
        <v>29487.904216856296</v>
      </c>
      <c r="D33" s="16">
        <f t="shared" si="3"/>
        <v>463133.5544647408</v>
      </c>
      <c r="E33" s="15">
        <f t="shared" si="1"/>
        <v>433645.65024788451</v>
      </c>
      <c r="F33" s="16">
        <f>'Tehnički proračun'!$I$5*1000000</f>
        <v>3713478.8556885491</v>
      </c>
      <c r="G33" s="15">
        <f t="shared" si="4"/>
        <v>45500</v>
      </c>
      <c r="H33" s="16">
        <f t="shared" si="5"/>
        <v>508633.5544647408</v>
      </c>
      <c r="I33" s="15">
        <f t="shared" si="6"/>
        <v>0</v>
      </c>
    </row>
    <row r="34" spans="1:9" x14ac:dyDescent="0.25">
      <c r="B34" s="11"/>
      <c r="C34" s="11"/>
      <c r="D34" s="7"/>
      <c r="E34" s="11"/>
      <c r="G34" s="11"/>
    </row>
    <row r="35" spans="1:9" x14ac:dyDescent="0.25">
      <c r="B35" s="11"/>
      <c r="C35" s="11"/>
      <c r="D35" s="7"/>
      <c r="E35" s="11"/>
      <c r="G35" s="11"/>
    </row>
  </sheetData>
  <mergeCells count="2">
    <mergeCell ref="A1:C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Tehnički proračun</vt:lpstr>
      <vt:lpstr>Ekonomski proračun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2021-06-22T11:51:03Z</dcterms:created>
  <dcterms:modified xsi:type="dcterms:W3CDTF">2021-06-22T14:00:39Z</dcterms:modified>
</cp:coreProperties>
</file>