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2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0" yWindow="135" windowWidth="23955" windowHeight="9780"/>
  </bookViews>
  <sheets>
    <sheet name="Sheet1" sheetId="1" r:id="rId1"/>
    <sheet name="Sheet2" sheetId="2" r:id="rId2"/>
    <sheet name="Sheet3" sheetId="3" r:id="rId3"/>
  </sheets>
  <definedNames>
    <definedName name="solver_adj" localSheetId="0" hidden="1">Sheet1!$B$22</definedName>
    <definedName name="solver_cvg" localSheetId="0" hidden="1">0.0001</definedName>
    <definedName name="solver_drv" localSheetId="0" hidden="1">1</definedName>
    <definedName name="solver_est" localSheetId="0" hidden="1">1</definedName>
    <definedName name="solver_itr" localSheetId="0" hidden="1">100</definedName>
    <definedName name="solver_lin" localSheetId="0" hidden="1">2</definedName>
    <definedName name="solver_neg" localSheetId="0" hidden="1">2</definedName>
    <definedName name="solver_num" localSheetId="0" hidden="1">0</definedName>
    <definedName name="solver_nwt" localSheetId="0" hidden="1">1</definedName>
    <definedName name="solver_opt" localSheetId="0" hidden="1">Sheet1!$B$36</definedName>
    <definedName name="solver_pre" localSheetId="0" hidden="1">0.000001</definedName>
    <definedName name="solver_scl" localSheetId="0" hidden="1">2</definedName>
    <definedName name="solver_sho" localSheetId="0" hidden="1">2</definedName>
    <definedName name="solver_tim" localSheetId="0" hidden="1">100</definedName>
    <definedName name="solver_tol" localSheetId="0" hidden="1">0.05</definedName>
    <definedName name="solver_typ" localSheetId="0" hidden="1">1</definedName>
    <definedName name="solver_val" localSheetId="0" hidden="1">0</definedName>
  </definedNames>
  <calcPr calcId="125725"/>
</workbook>
</file>

<file path=xl/calcChain.xml><?xml version="1.0" encoding="utf-8"?>
<calcChain xmlns="http://schemas.openxmlformats.org/spreadsheetml/2006/main">
  <c r="B30" i="1"/>
  <c r="B28"/>
  <c r="B29"/>
  <c r="B24"/>
  <c r="E5" s="1"/>
  <c r="H5" s="1"/>
  <c r="E10" l="1"/>
  <c r="H10" s="1"/>
  <c r="E14"/>
  <c r="F14" s="1"/>
  <c r="E18"/>
  <c r="E6"/>
  <c r="I5"/>
  <c r="F5"/>
  <c r="G5"/>
  <c r="E19"/>
  <c r="E15"/>
  <c r="E11"/>
  <c r="E7"/>
  <c r="E3"/>
  <c r="E20"/>
  <c r="E16"/>
  <c r="E12"/>
  <c r="E8"/>
  <c r="E4"/>
  <c r="E2"/>
  <c r="E17"/>
  <c r="E13"/>
  <c r="E9"/>
  <c r="G10" l="1"/>
  <c r="F10"/>
  <c r="I10"/>
  <c r="H14"/>
  <c r="I14"/>
  <c r="G14"/>
  <c r="I12"/>
  <c r="H12"/>
  <c r="G12"/>
  <c r="F12"/>
  <c r="I18"/>
  <c r="H18"/>
  <c r="G18"/>
  <c r="F18"/>
  <c r="I8"/>
  <c r="H8"/>
  <c r="G8"/>
  <c r="F8"/>
  <c r="F19"/>
  <c r="I19"/>
  <c r="H19"/>
  <c r="G19"/>
  <c r="H6"/>
  <c r="G6"/>
  <c r="F6"/>
  <c r="I6"/>
  <c r="H9"/>
  <c r="G9"/>
  <c r="F9"/>
  <c r="I9"/>
  <c r="I4"/>
  <c r="H4"/>
  <c r="G4"/>
  <c r="F4"/>
  <c r="H15"/>
  <c r="G15"/>
  <c r="F15"/>
  <c r="I15"/>
  <c r="H2"/>
  <c r="G2"/>
  <c r="F2"/>
  <c r="I2"/>
  <c r="I16"/>
  <c r="H16"/>
  <c r="G16"/>
  <c r="F16"/>
  <c r="H11"/>
  <c r="I11"/>
  <c r="G11"/>
  <c r="F11"/>
  <c r="H17"/>
  <c r="G17"/>
  <c r="F17"/>
  <c r="I17"/>
  <c r="G7"/>
  <c r="F7"/>
  <c r="I7"/>
  <c r="H7"/>
  <c r="H13"/>
  <c r="G13"/>
  <c r="F13"/>
  <c r="I13"/>
  <c r="H3"/>
  <c r="I3"/>
  <c r="G3"/>
  <c r="F3"/>
  <c r="I20"/>
  <c r="H20"/>
  <c r="G20"/>
  <c r="F20"/>
  <c r="B36" l="1"/>
  <c r="B37"/>
  <c r="B31"/>
  <c r="B32" s="1"/>
  <c r="B38"/>
  <c r="B34" l="1"/>
  <c r="B40" s="1"/>
  <c r="B43" s="1"/>
  <c r="B35"/>
  <c r="B41" s="1"/>
  <c r="B44" s="1"/>
  <c r="B33"/>
  <c r="B39" s="1"/>
  <c r="B42" s="1"/>
</calcChain>
</file>

<file path=xl/sharedStrings.xml><?xml version="1.0" encoding="utf-8"?>
<sst xmlns="http://schemas.openxmlformats.org/spreadsheetml/2006/main" count="46" uniqueCount="39">
  <si>
    <t>v[m/s]</t>
  </si>
  <si>
    <t>Enercon E66 1500 kW D=66m</t>
  </si>
  <si>
    <t>TW 1.5 1500kW D=65m</t>
  </si>
  <si>
    <t>TW 1.5 1500 kW D=77m</t>
  </si>
  <si>
    <t>vsr[m/s]</t>
  </si>
  <si>
    <t>k</t>
  </si>
  <si>
    <t>c</t>
  </si>
  <si>
    <t>f(v)</t>
  </si>
  <si>
    <t>D1</t>
  </si>
  <si>
    <t>D2</t>
  </si>
  <si>
    <t>D3</t>
  </si>
  <si>
    <t>A1</t>
  </si>
  <si>
    <t>A2</t>
  </si>
  <si>
    <t>A3</t>
  </si>
  <si>
    <t>veff[m/s]</t>
  </si>
  <si>
    <t>v^3*f(v)</t>
  </si>
  <si>
    <t>Pspec</t>
  </si>
  <si>
    <t>Pv1</t>
  </si>
  <si>
    <t>Pv2</t>
  </si>
  <si>
    <t>Pv3</t>
  </si>
  <si>
    <t>P1*t1</t>
  </si>
  <si>
    <t>P2*t2</t>
  </si>
  <si>
    <t>P3*t3</t>
  </si>
  <si>
    <t>Wg1</t>
  </si>
  <si>
    <t>Wg2</t>
  </si>
  <si>
    <t>Wg3</t>
  </si>
  <si>
    <t>kWh</t>
  </si>
  <si>
    <t>Wv1</t>
  </si>
  <si>
    <t>Wv2</t>
  </si>
  <si>
    <t>Wv3</t>
  </si>
  <si>
    <t>eta1</t>
  </si>
  <si>
    <t>eta2</t>
  </si>
  <si>
    <t>eta3</t>
  </si>
  <si>
    <t>vsr1</t>
  </si>
  <si>
    <t>vsr2</t>
  </si>
  <si>
    <t>vsr3</t>
  </si>
  <si>
    <t>Wg1max[kWh]</t>
  </si>
  <si>
    <t>Wg2max[kWh]</t>
  </si>
  <si>
    <t>Wg3max[kWh]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</si>
</sst>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11"/>
      <color rgb="FF202122"/>
      <name val="Arial"/>
      <family val="2"/>
      <charset val="238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0" xfId="0" applyFont="1" applyFill="1"/>
    <xf numFmtId="0" fontId="0" fillId="2" borderId="0" xfId="0" applyFill="1"/>
    <xf numFmtId="0" fontId="3" fillId="0" borderId="0" xfId="0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bs-Latn-BA"/>
  <c:chart>
    <c:plotArea>
      <c:layout/>
      <c:scatterChart>
        <c:scatterStyle val="lineMarker"/>
        <c:ser>
          <c:idx val="0"/>
          <c:order val="0"/>
          <c:tx>
            <c:v>1</c:v>
          </c:tx>
          <c:marker>
            <c:symbol val="none"/>
          </c:marker>
          <c:xVal>
            <c:numRef>
              <c:f>Sheet1!$A$2:$A$20</c:f>
              <c:numCache>
                <c:formatCode>General</c:formatCode>
                <c:ptCount val="1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</c:numCache>
            </c:numRef>
          </c:xVal>
          <c:yVal>
            <c:numRef>
              <c:f>Sheet1!$B$2:$B$20</c:f>
              <c:numCache>
                <c:formatCode>General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1.8</c:v>
                </c:pt>
                <c:pt idx="3">
                  <c:v>30.1</c:v>
                </c:pt>
                <c:pt idx="4">
                  <c:v>89.3</c:v>
                </c:pt>
                <c:pt idx="5">
                  <c:v>173.5</c:v>
                </c:pt>
                <c:pt idx="6">
                  <c:v>296</c:v>
                </c:pt>
                <c:pt idx="7">
                  <c:v>447</c:v>
                </c:pt>
                <c:pt idx="8">
                  <c:v>648</c:v>
                </c:pt>
                <c:pt idx="9">
                  <c:v>877</c:v>
                </c:pt>
                <c:pt idx="10">
                  <c:v>1122</c:v>
                </c:pt>
                <c:pt idx="11">
                  <c:v>1337</c:v>
                </c:pt>
                <c:pt idx="12">
                  <c:v>1468</c:v>
                </c:pt>
                <c:pt idx="13">
                  <c:v>1500</c:v>
                </c:pt>
                <c:pt idx="14">
                  <c:v>1500</c:v>
                </c:pt>
                <c:pt idx="15">
                  <c:v>1500</c:v>
                </c:pt>
                <c:pt idx="16">
                  <c:v>1500</c:v>
                </c:pt>
                <c:pt idx="17">
                  <c:v>1500</c:v>
                </c:pt>
                <c:pt idx="18">
                  <c:v>1500</c:v>
                </c:pt>
              </c:numCache>
            </c:numRef>
          </c:yVal>
        </c:ser>
        <c:ser>
          <c:idx val="1"/>
          <c:order val="1"/>
          <c:tx>
            <c:v>2</c:v>
          </c:tx>
          <c:marker>
            <c:symbol val="none"/>
          </c:marker>
          <c:xVal>
            <c:numRef>
              <c:f>Sheet1!$A$2:$A$20</c:f>
              <c:numCache>
                <c:formatCode>General</c:formatCode>
                <c:ptCount val="1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</c:numCache>
            </c:numRef>
          </c:xVal>
          <c:yVal>
            <c:numRef>
              <c:f>Sheet1!$C$2:$C$20</c:f>
              <c:numCache>
                <c:formatCode>General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12</c:v>
                </c:pt>
                <c:pt idx="4">
                  <c:v>74</c:v>
                </c:pt>
                <c:pt idx="5">
                  <c:v>157</c:v>
                </c:pt>
                <c:pt idx="6">
                  <c:v>266</c:v>
                </c:pt>
                <c:pt idx="7">
                  <c:v>407</c:v>
                </c:pt>
                <c:pt idx="8">
                  <c:v>600</c:v>
                </c:pt>
                <c:pt idx="9">
                  <c:v>822</c:v>
                </c:pt>
                <c:pt idx="10">
                  <c:v>1054</c:v>
                </c:pt>
                <c:pt idx="11">
                  <c:v>1285</c:v>
                </c:pt>
                <c:pt idx="12">
                  <c:v>1500</c:v>
                </c:pt>
                <c:pt idx="13">
                  <c:v>1500</c:v>
                </c:pt>
                <c:pt idx="14">
                  <c:v>1500</c:v>
                </c:pt>
                <c:pt idx="15">
                  <c:v>1500</c:v>
                </c:pt>
                <c:pt idx="16">
                  <c:v>1500</c:v>
                </c:pt>
                <c:pt idx="17">
                  <c:v>1500</c:v>
                </c:pt>
                <c:pt idx="18">
                  <c:v>1500</c:v>
                </c:pt>
              </c:numCache>
            </c:numRef>
          </c:yVal>
        </c:ser>
        <c:ser>
          <c:idx val="2"/>
          <c:order val="2"/>
          <c:tx>
            <c:v>3</c:v>
          </c:tx>
          <c:marker>
            <c:symbol val="none"/>
          </c:marker>
          <c:xVal>
            <c:numRef>
              <c:f>Sheet1!$A$2:$A$20</c:f>
              <c:numCache>
                <c:formatCode>General</c:formatCode>
                <c:ptCount val="1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</c:numCache>
            </c:numRef>
          </c:xVal>
          <c:yVal>
            <c:numRef>
              <c:f>Sheet1!$D$2:$D$20</c:f>
              <c:numCache>
                <c:formatCode>General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4</c:v>
                </c:pt>
                <c:pt idx="3">
                  <c:v>35</c:v>
                </c:pt>
                <c:pt idx="4">
                  <c:v>116</c:v>
                </c:pt>
                <c:pt idx="5">
                  <c:v>235</c:v>
                </c:pt>
                <c:pt idx="6">
                  <c:v>395</c:v>
                </c:pt>
                <c:pt idx="7">
                  <c:v>595</c:v>
                </c:pt>
                <c:pt idx="8">
                  <c:v>890</c:v>
                </c:pt>
                <c:pt idx="9">
                  <c:v>1210</c:v>
                </c:pt>
                <c:pt idx="10">
                  <c:v>1400</c:v>
                </c:pt>
                <c:pt idx="11">
                  <c:v>1500</c:v>
                </c:pt>
                <c:pt idx="12">
                  <c:v>1500</c:v>
                </c:pt>
                <c:pt idx="13">
                  <c:v>1500</c:v>
                </c:pt>
                <c:pt idx="14">
                  <c:v>1500</c:v>
                </c:pt>
                <c:pt idx="15">
                  <c:v>1500</c:v>
                </c:pt>
                <c:pt idx="16">
                  <c:v>1500</c:v>
                </c:pt>
                <c:pt idx="17">
                  <c:v>1500</c:v>
                </c:pt>
                <c:pt idx="18">
                  <c:v>1500</c:v>
                </c:pt>
              </c:numCache>
            </c:numRef>
          </c:yVal>
        </c:ser>
        <c:axId val="65820928"/>
        <c:axId val="65819392"/>
      </c:scatterChart>
      <c:valAx>
        <c:axId val="65820928"/>
        <c:scaling>
          <c:orientation val="minMax"/>
        </c:scaling>
        <c:axPos val="b"/>
        <c:numFmt formatCode="General" sourceLinked="1"/>
        <c:tickLblPos val="nextTo"/>
        <c:crossAx val="65819392"/>
        <c:crosses val="autoZero"/>
        <c:crossBetween val="midCat"/>
      </c:valAx>
      <c:valAx>
        <c:axId val="65819392"/>
        <c:scaling>
          <c:orientation val="minMax"/>
        </c:scaling>
        <c:axPos val="l"/>
        <c:majorGridlines/>
        <c:numFmt formatCode="General" sourceLinked="1"/>
        <c:tickLblPos val="nextTo"/>
        <c:crossAx val="65820928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bs-Latn-BA"/>
  <c:chart>
    <c:plotArea>
      <c:layout/>
      <c:scatterChart>
        <c:scatterStyle val="lineMarker"/>
        <c:ser>
          <c:idx val="0"/>
          <c:order val="0"/>
          <c:tx>
            <c:v>1</c:v>
          </c:tx>
          <c:marker>
            <c:symbol val="none"/>
          </c:marker>
          <c:xVal>
            <c:numRef>
              <c:f>Sheet1!$J$2:$J$7</c:f>
              <c:numCache>
                <c:formatCode>General</c:formatCode>
                <c:ptCount val="6"/>
                <c:pt idx="0">
                  <c:v>7</c:v>
                </c:pt>
                <c:pt idx="1">
                  <c:v>9</c:v>
                </c:pt>
                <c:pt idx="2">
                  <c:v>11</c:v>
                </c:pt>
                <c:pt idx="3">
                  <c:v>13</c:v>
                </c:pt>
                <c:pt idx="4">
                  <c:v>15</c:v>
                </c:pt>
                <c:pt idx="5">
                  <c:v>17</c:v>
                </c:pt>
              </c:numCache>
            </c:numRef>
          </c:xVal>
          <c:yVal>
            <c:numRef>
              <c:f>Sheet1!$K$2:$K$7</c:f>
              <c:numCache>
                <c:formatCode>General</c:formatCode>
                <c:ptCount val="6"/>
                <c:pt idx="0">
                  <c:v>3821315.91</c:v>
                </c:pt>
                <c:pt idx="1">
                  <c:v>5630296.6270000003</c:v>
                </c:pt>
                <c:pt idx="2">
                  <c:v>6495456.6349999998</c:v>
                </c:pt>
                <c:pt idx="3">
                  <c:v>6578201.398</c:v>
                </c:pt>
                <c:pt idx="4">
                  <c:v>6224372.5159999998</c:v>
                </c:pt>
                <c:pt idx="5">
                  <c:v>5687856.0140000004</c:v>
                </c:pt>
              </c:numCache>
            </c:numRef>
          </c:yVal>
        </c:ser>
        <c:ser>
          <c:idx val="1"/>
          <c:order val="1"/>
          <c:tx>
            <c:v>2</c:v>
          </c:tx>
          <c:marker>
            <c:symbol val="none"/>
          </c:marker>
          <c:xVal>
            <c:numRef>
              <c:f>Sheet1!$J$2:$J$7</c:f>
              <c:numCache>
                <c:formatCode>General</c:formatCode>
                <c:ptCount val="6"/>
                <c:pt idx="0">
                  <c:v>7</c:v>
                </c:pt>
                <c:pt idx="1">
                  <c:v>9</c:v>
                </c:pt>
                <c:pt idx="2">
                  <c:v>11</c:v>
                </c:pt>
                <c:pt idx="3">
                  <c:v>13</c:v>
                </c:pt>
                <c:pt idx="4">
                  <c:v>15</c:v>
                </c:pt>
                <c:pt idx="5">
                  <c:v>17</c:v>
                </c:pt>
              </c:numCache>
            </c:numRef>
          </c:xVal>
          <c:yVal>
            <c:numRef>
              <c:f>Sheet1!$L$2:$L$7</c:f>
              <c:numCache>
                <c:formatCode>General</c:formatCode>
                <c:ptCount val="6"/>
                <c:pt idx="0">
                  <c:v>3611106.7549999999</c:v>
                </c:pt>
                <c:pt idx="1">
                  <c:v>5424739.7139999997</c:v>
                </c:pt>
                <c:pt idx="2">
                  <c:v>6317175.7609999999</c:v>
                </c:pt>
                <c:pt idx="3">
                  <c:v>6429415.5810000002</c:v>
                </c:pt>
                <c:pt idx="4">
                  <c:v>6101158.3859999999</c:v>
                </c:pt>
                <c:pt idx="5">
                  <c:v>5585400.9709999999</c:v>
                </c:pt>
              </c:numCache>
            </c:numRef>
          </c:yVal>
        </c:ser>
        <c:ser>
          <c:idx val="2"/>
          <c:order val="2"/>
          <c:tx>
            <c:v>3</c:v>
          </c:tx>
          <c:marker>
            <c:symbol val="none"/>
          </c:marker>
          <c:xVal>
            <c:numRef>
              <c:f>Sheet1!$J$2:$J$7</c:f>
              <c:numCache>
                <c:formatCode>General</c:formatCode>
                <c:ptCount val="6"/>
                <c:pt idx="0">
                  <c:v>7</c:v>
                </c:pt>
                <c:pt idx="1">
                  <c:v>9</c:v>
                </c:pt>
                <c:pt idx="2">
                  <c:v>11</c:v>
                </c:pt>
                <c:pt idx="3">
                  <c:v>13</c:v>
                </c:pt>
                <c:pt idx="4">
                  <c:v>15</c:v>
                </c:pt>
                <c:pt idx="5">
                  <c:v>17</c:v>
                </c:pt>
              </c:numCache>
            </c:numRef>
          </c:xVal>
          <c:yVal>
            <c:numRef>
              <c:f>Sheet1!$M$2:$M$7</c:f>
              <c:numCache>
                <c:formatCode>General</c:formatCode>
                <c:ptCount val="6"/>
                <c:pt idx="0">
                  <c:v>4659521.3600000003</c:v>
                </c:pt>
                <c:pt idx="1">
                  <c:v>6517433.3590000002</c:v>
                </c:pt>
                <c:pt idx="2">
                  <c:v>7296495.932</c:v>
                </c:pt>
                <c:pt idx="3">
                  <c:v>7262779.4479999999</c:v>
                </c:pt>
                <c:pt idx="4">
                  <c:v>6800002.4419999998</c:v>
                </c:pt>
                <c:pt idx="5">
                  <c:v>6171497.0829999996</c:v>
                </c:pt>
              </c:numCache>
            </c:numRef>
          </c:yVal>
        </c:ser>
        <c:axId val="68077440"/>
        <c:axId val="67001728"/>
      </c:scatterChart>
      <c:valAx>
        <c:axId val="68077440"/>
        <c:scaling>
          <c:orientation val="minMax"/>
        </c:scaling>
        <c:axPos val="b"/>
        <c:numFmt formatCode="General" sourceLinked="1"/>
        <c:tickLblPos val="nextTo"/>
        <c:crossAx val="67001728"/>
        <c:crosses val="autoZero"/>
        <c:crossBetween val="midCat"/>
      </c:valAx>
      <c:valAx>
        <c:axId val="67001728"/>
        <c:scaling>
          <c:orientation val="minMax"/>
        </c:scaling>
        <c:axPos val="l"/>
        <c:majorGridlines/>
        <c:numFmt formatCode="General" sourceLinked="1"/>
        <c:tickLblPos val="nextTo"/>
        <c:crossAx val="68077440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800100</xdr:colOff>
      <xdr:row>20</xdr:row>
      <xdr:rowOff>57150</xdr:rowOff>
    </xdr:from>
    <xdr:to>
      <xdr:col>8</xdr:col>
      <xdr:colOff>114300</xdr:colOff>
      <xdr:row>34</xdr:row>
      <xdr:rowOff>133350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276225</xdr:colOff>
      <xdr:row>20</xdr:row>
      <xdr:rowOff>104775</xdr:rowOff>
    </xdr:from>
    <xdr:to>
      <xdr:col>16</xdr:col>
      <xdr:colOff>390525</xdr:colOff>
      <xdr:row>34</xdr:row>
      <xdr:rowOff>142875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44"/>
  <sheetViews>
    <sheetView tabSelected="1" workbookViewId="0">
      <selection activeCell="R2" sqref="R2"/>
    </sheetView>
  </sheetViews>
  <sheetFormatPr defaultRowHeight="15"/>
  <cols>
    <col min="2" max="2" width="26.28515625" bestFit="1" customWidth="1"/>
    <col min="3" max="3" width="20.85546875" bestFit="1" customWidth="1"/>
    <col min="4" max="4" width="21.42578125" bestFit="1" customWidth="1"/>
    <col min="11" max="13" width="12" bestFit="1" customWidth="1"/>
    <col min="17" max="17" width="14.140625" bestFit="1" customWidth="1"/>
    <col min="18" max="18" width="12" bestFit="1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7</v>
      </c>
      <c r="F1" s="1" t="s">
        <v>15</v>
      </c>
      <c r="G1" s="1" t="s">
        <v>20</v>
      </c>
      <c r="H1" s="1" t="s">
        <v>21</v>
      </c>
      <c r="I1" s="1" t="s">
        <v>22</v>
      </c>
      <c r="J1" s="1" t="s">
        <v>4</v>
      </c>
      <c r="K1" s="4" t="s">
        <v>23</v>
      </c>
      <c r="L1" s="1" t="s">
        <v>24</v>
      </c>
      <c r="M1" s="1" t="s">
        <v>25</v>
      </c>
      <c r="O1" s="5" t="s">
        <v>33</v>
      </c>
      <c r="P1" s="3">
        <v>12.231999999999999</v>
      </c>
      <c r="Q1" s="5" t="s">
        <v>36</v>
      </c>
      <c r="R1" s="3">
        <v>6616042.9179999996</v>
      </c>
    </row>
    <row r="2" spans="1:18">
      <c r="A2">
        <v>1</v>
      </c>
      <c r="B2">
        <v>0</v>
      </c>
      <c r="C2">
        <v>0</v>
      </c>
      <c r="D2">
        <v>0</v>
      </c>
      <c r="E2">
        <f>WEIBULL(A2,$B$23,$B$24,FALSE)</f>
        <v>1.0443702254285996E-2</v>
      </c>
      <c r="F2">
        <f>A2^3*E2</f>
        <v>1.0443702254285996E-2</v>
      </c>
      <c r="G2">
        <f>B2*8760*E2</f>
        <v>0</v>
      </c>
      <c r="H2">
        <f>C2*8760*E2</f>
        <v>0</v>
      </c>
      <c r="I2">
        <f>D2*8760*E2</f>
        <v>0</v>
      </c>
      <c r="J2" s="3">
        <v>7</v>
      </c>
      <c r="K2" s="3">
        <v>3821315.91</v>
      </c>
      <c r="L2" s="3">
        <v>3611106.7549999999</v>
      </c>
      <c r="M2" s="3">
        <v>4659521.3600000003</v>
      </c>
      <c r="O2" s="5" t="s">
        <v>34</v>
      </c>
      <c r="P2" s="3">
        <v>12.337999999999999</v>
      </c>
      <c r="Q2" s="5" t="s">
        <v>37</v>
      </c>
      <c r="R2" s="3">
        <v>6457015.8859999999</v>
      </c>
    </row>
    <row r="3" spans="1:18">
      <c r="A3">
        <v>2</v>
      </c>
      <c r="B3">
        <v>0</v>
      </c>
      <c r="C3">
        <v>0</v>
      </c>
      <c r="D3">
        <v>0</v>
      </c>
      <c r="E3">
        <f t="shared" ref="E3:E20" si="0">WEIBULL(A3,$B$23,$B$24,FALSE)</f>
        <v>2.0561046084403841E-2</v>
      </c>
      <c r="F3">
        <f t="shared" ref="F3:F20" si="1">A3^3*E3</f>
        <v>0.16448836867523073</v>
      </c>
      <c r="G3">
        <f t="shared" ref="G3:G20" si="2">B3*8760*E3</f>
        <v>0</v>
      </c>
      <c r="H3">
        <f t="shared" ref="H3:H20" si="3">C3*8760*E3</f>
        <v>0</v>
      </c>
      <c r="I3">
        <f t="shared" ref="I3:I20" si="4">D3*8760*E3</f>
        <v>0</v>
      </c>
      <c r="J3" s="3">
        <v>9</v>
      </c>
      <c r="K3" s="3">
        <v>5630296.6270000003</v>
      </c>
      <c r="L3" s="3">
        <v>5424739.7139999997</v>
      </c>
      <c r="M3" s="3">
        <v>6517433.3590000002</v>
      </c>
      <c r="O3" s="5" t="s">
        <v>35</v>
      </c>
      <c r="P3" s="3">
        <v>11.837</v>
      </c>
      <c r="Q3" s="5" t="s">
        <v>38</v>
      </c>
      <c r="R3" s="3">
        <v>7357491.5659999996</v>
      </c>
    </row>
    <row r="4" spans="1:18">
      <c r="A4">
        <v>3</v>
      </c>
      <c r="B4">
        <v>1.8</v>
      </c>
      <c r="C4">
        <v>0</v>
      </c>
      <c r="D4">
        <v>4</v>
      </c>
      <c r="E4">
        <f t="shared" si="0"/>
        <v>3.0042611427278078E-2</v>
      </c>
      <c r="F4">
        <f t="shared" si="1"/>
        <v>0.81115050853650805</v>
      </c>
      <c r="G4">
        <f t="shared" si="2"/>
        <v>473.71189698532072</v>
      </c>
      <c r="H4">
        <f t="shared" si="3"/>
        <v>0</v>
      </c>
      <c r="I4">
        <f t="shared" si="4"/>
        <v>1052.6931044118239</v>
      </c>
      <c r="J4" s="3">
        <v>11</v>
      </c>
      <c r="K4" s="3">
        <v>6495456.6349999998</v>
      </c>
      <c r="L4" s="3">
        <v>6317175.7609999999</v>
      </c>
      <c r="M4" s="3">
        <v>7296495.932</v>
      </c>
    </row>
    <row r="5" spans="1:18">
      <c r="A5">
        <v>4</v>
      </c>
      <c r="B5">
        <v>30.1</v>
      </c>
      <c r="C5">
        <v>12</v>
      </c>
      <c r="D5">
        <v>35</v>
      </c>
      <c r="E5">
        <f t="shared" si="0"/>
        <v>3.8611628444656695E-2</v>
      </c>
      <c r="F5">
        <f t="shared" si="1"/>
        <v>2.4711442204580285</v>
      </c>
      <c r="G5">
        <f t="shared" si="2"/>
        <v>10180.959741773298</v>
      </c>
      <c r="H5">
        <f t="shared" si="3"/>
        <v>4058.8543821023118</v>
      </c>
      <c r="I5">
        <f t="shared" si="4"/>
        <v>11838.325281131743</v>
      </c>
      <c r="J5" s="3">
        <v>13</v>
      </c>
      <c r="K5" s="3">
        <v>6578201.398</v>
      </c>
      <c r="L5" s="3">
        <v>6429415.5810000002</v>
      </c>
      <c r="M5" s="3">
        <v>7262779.4479999999</v>
      </c>
    </row>
    <row r="6" spans="1:18">
      <c r="A6">
        <v>5</v>
      </c>
      <c r="B6">
        <v>89.3</v>
      </c>
      <c r="C6">
        <v>74</v>
      </c>
      <c r="D6">
        <v>116</v>
      </c>
      <c r="E6">
        <f t="shared" si="0"/>
        <v>4.6037350181075909E-2</v>
      </c>
      <c r="F6">
        <f t="shared" si="1"/>
        <v>5.7546687726344885</v>
      </c>
      <c r="G6">
        <f t="shared" si="2"/>
        <v>36013.54585144989</v>
      </c>
      <c r="H6">
        <f t="shared" si="3"/>
        <v>29843.251881380646</v>
      </c>
      <c r="I6">
        <f t="shared" si="4"/>
        <v>46781.313760002093</v>
      </c>
      <c r="J6" s="3">
        <v>15</v>
      </c>
      <c r="K6" s="3">
        <v>6224372.5159999998</v>
      </c>
      <c r="L6" s="3">
        <v>6101158.3859999999</v>
      </c>
      <c r="M6" s="3">
        <v>6800002.4419999998</v>
      </c>
    </row>
    <row r="7" spans="1:18">
      <c r="A7">
        <v>6</v>
      </c>
      <c r="B7">
        <v>173.5</v>
      </c>
      <c r="C7">
        <v>157</v>
      </c>
      <c r="D7">
        <v>235</v>
      </c>
      <c r="E7">
        <f t="shared" si="0"/>
        <v>5.2145188027352872E-2</v>
      </c>
      <c r="F7">
        <f t="shared" si="1"/>
        <v>11.263360613908221</v>
      </c>
      <c r="G7">
        <f t="shared" si="2"/>
        <v>79253.385475252537</v>
      </c>
      <c r="H7">
        <f t="shared" si="3"/>
        <v>71716.319997778948</v>
      </c>
      <c r="I7">
        <f t="shared" si="4"/>
        <v>107346.08407310862</v>
      </c>
      <c r="J7" s="3">
        <v>17</v>
      </c>
      <c r="K7" s="3">
        <v>5687856.0140000004</v>
      </c>
      <c r="L7" s="3">
        <v>5585400.9709999999</v>
      </c>
      <c r="M7" s="3">
        <v>6171497.0829999996</v>
      </c>
    </row>
    <row r="8" spans="1:18">
      <c r="A8">
        <v>7</v>
      </c>
      <c r="B8">
        <v>296</v>
      </c>
      <c r="C8">
        <v>266</v>
      </c>
      <c r="D8">
        <v>395</v>
      </c>
      <c r="E8">
        <f t="shared" si="0"/>
        <v>5.6823003646150484E-2</v>
      </c>
      <c r="F8">
        <f t="shared" si="1"/>
        <v>19.490290250629617</v>
      </c>
      <c r="G8">
        <f t="shared" si="2"/>
        <v>147339.77553432237</v>
      </c>
      <c r="H8">
        <f t="shared" si="3"/>
        <v>132406.690176114</v>
      </c>
      <c r="I8">
        <f t="shared" si="4"/>
        <v>196618.95721640991</v>
      </c>
    </row>
    <row r="9" spans="1:18">
      <c r="A9">
        <v>8</v>
      </c>
      <c r="B9">
        <v>447</v>
      </c>
      <c r="C9">
        <v>407</v>
      </c>
      <c r="D9">
        <v>595</v>
      </c>
      <c r="E9">
        <f t="shared" si="0"/>
        <v>6.0023287595412603E-2</v>
      </c>
      <c r="F9">
        <f t="shared" si="1"/>
        <v>30.731923248851253</v>
      </c>
      <c r="G9">
        <f t="shared" si="2"/>
        <v>235034.38770310904</v>
      </c>
      <c r="H9">
        <f t="shared" si="3"/>
        <v>214002.22772967647</v>
      </c>
      <c r="I9">
        <f t="shared" si="4"/>
        <v>312853.37960480957</v>
      </c>
    </row>
    <row r="10" spans="1:18">
      <c r="A10">
        <v>9</v>
      </c>
      <c r="B10">
        <v>648</v>
      </c>
      <c r="C10">
        <v>600</v>
      </c>
      <c r="D10">
        <v>890</v>
      </c>
      <c r="E10">
        <f t="shared" si="0"/>
        <v>6.1761300552317579E-2</v>
      </c>
      <c r="F10">
        <f t="shared" si="1"/>
        <v>45.023988102639514</v>
      </c>
      <c r="G10">
        <f t="shared" si="2"/>
        <v>350586.78735921968</v>
      </c>
      <c r="H10">
        <f t="shared" si="3"/>
        <v>324617.39570298122</v>
      </c>
      <c r="I10">
        <f t="shared" si="4"/>
        <v>481515.80362608877</v>
      </c>
    </row>
    <row r="11" spans="1:18">
      <c r="A11">
        <v>10</v>
      </c>
      <c r="B11">
        <v>877</v>
      </c>
      <c r="C11">
        <v>822</v>
      </c>
      <c r="D11">
        <v>1210</v>
      </c>
      <c r="E11">
        <f t="shared" si="0"/>
        <v>6.2109572582659603E-2</v>
      </c>
      <c r="F11">
        <f t="shared" si="1"/>
        <v>62.109572582659602</v>
      </c>
      <c r="G11">
        <f t="shared" si="2"/>
        <v>477158.03355773404</v>
      </c>
      <c r="H11">
        <f t="shared" si="3"/>
        <v>447233.64148740866</v>
      </c>
      <c r="I11">
        <f t="shared" si="4"/>
        <v>658336.62554715876</v>
      </c>
    </row>
    <row r="12" spans="1:18">
      <c r="A12">
        <v>11</v>
      </c>
      <c r="B12">
        <v>1122</v>
      </c>
      <c r="C12">
        <v>1054</v>
      </c>
      <c r="D12">
        <v>1400</v>
      </c>
      <c r="E12">
        <f t="shared" si="0"/>
        <v>6.1189418941658566E-2</v>
      </c>
      <c r="F12">
        <f t="shared" si="1"/>
        <v>81.443116611347548</v>
      </c>
      <c r="G12">
        <f t="shared" si="2"/>
        <v>601413.66574025841</v>
      </c>
      <c r="H12">
        <f t="shared" si="3"/>
        <v>564964.35266509117</v>
      </c>
      <c r="I12">
        <f t="shared" si="4"/>
        <v>750427.03390050062</v>
      </c>
    </row>
    <row r="13" spans="1:18">
      <c r="A13">
        <v>12</v>
      </c>
      <c r="B13">
        <v>1337</v>
      </c>
      <c r="C13">
        <v>1285</v>
      </c>
      <c r="D13">
        <v>1500</v>
      </c>
      <c r="E13">
        <f t="shared" si="0"/>
        <v>5.9160315232035458E-2</v>
      </c>
      <c r="F13">
        <f t="shared" si="1"/>
        <v>102.22902472095727</v>
      </c>
      <c r="G13">
        <f t="shared" si="2"/>
        <v>692892.71123542718</v>
      </c>
      <c r="H13">
        <f t="shared" si="3"/>
        <v>665944.00444093032</v>
      </c>
      <c r="I13">
        <f t="shared" si="4"/>
        <v>777366.54214894597</v>
      </c>
    </row>
    <row r="14" spans="1:18">
      <c r="A14">
        <v>13</v>
      </c>
      <c r="B14">
        <v>1468</v>
      </c>
      <c r="C14">
        <v>1500</v>
      </c>
      <c r="D14">
        <v>1500</v>
      </c>
      <c r="E14">
        <f t="shared" si="0"/>
        <v>5.6208068427958342E-2</v>
      </c>
      <c r="F14">
        <f t="shared" si="1"/>
        <v>123.48912633622447</v>
      </c>
      <c r="G14">
        <f t="shared" si="2"/>
        <v>722817.77340164734</v>
      </c>
      <c r="H14">
        <f t="shared" si="3"/>
        <v>738574.01914337266</v>
      </c>
      <c r="I14">
        <f t="shared" si="4"/>
        <v>738574.01914337266</v>
      </c>
    </row>
    <row r="15" spans="1:18">
      <c r="A15">
        <v>14</v>
      </c>
      <c r="B15">
        <v>1500</v>
      </c>
      <c r="C15">
        <v>1500</v>
      </c>
      <c r="D15">
        <v>1500</v>
      </c>
      <c r="E15">
        <f t="shared" si="0"/>
        <v>5.2532722185350926E-2</v>
      </c>
      <c r="F15">
        <f t="shared" si="1"/>
        <v>144.14978967660295</v>
      </c>
      <c r="G15">
        <f t="shared" si="2"/>
        <v>690279.96951551118</v>
      </c>
      <c r="H15">
        <f t="shared" si="3"/>
        <v>690279.96951551118</v>
      </c>
      <c r="I15">
        <f t="shared" si="4"/>
        <v>690279.96951551118</v>
      </c>
    </row>
    <row r="16" spans="1:18">
      <c r="A16">
        <v>15</v>
      </c>
      <c r="B16">
        <v>1500</v>
      </c>
      <c r="C16">
        <v>1500</v>
      </c>
      <c r="D16">
        <v>1500</v>
      </c>
      <c r="E16">
        <f t="shared" si="0"/>
        <v>4.8337053890861036E-2</v>
      </c>
      <c r="F16">
        <f t="shared" si="1"/>
        <v>163.137556881656</v>
      </c>
      <c r="G16">
        <f t="shared" si="2"/>
        <v>635148.88812591403</v>
      </c>
      <c r="H16">
        <f t="shared" si="3"/>
        <v>635148.88812591403</v>
      </c>
      <c r="I16">
        <f t="shared" si="4"/>
        <v>635148.88812591403</v>
      </c>
    </row>
    <row r="17" spans="1:9">
      <c r="A17">
        <v>16</v>
      </c>
      <c r="B17">
        <v>1500</v>
      </c>
      <c r="C17">
        <v>1500</v>
      </c>
      <c r="D17">
        <v>1500</v>
      </c>
      <c r="E17">
        <f t="shared" si="0"/>
        <v>4.3816373919015668E-2</v>
      </c>
      <c r="F17">
        <f t="shared" si="1"/>
        <v>179.47186757228818</v>
      </c>
      <c r="G17">
        <f t="shared" si="2"/>
        <v>575747.15329586586</v>
      </c>
      <c r="H17">
        <f t="shared" si="3"/>
        <v>575747.15329586586</v>
      </c>
      <c r="I17">
        <f t="shared" si="4"/>
        <v>575747.15329586586</v>
      </c>
    </row>
    <row r="18" spans="1:9">
      <c r="A18">
        <v>17</v>
      </c>
      <c r="B18">
        <v>1500</v>
      </c>
      <c r="C18">
        <v>1500</v>
      </c>
      <c r="D18">
        <v>1500</v>
      </c>
      <c r="E18">
        <f t="shared" si="0"/>
        <v>3.9150146581775798E-2</v>
      </c>
      <c r="F18">
        <f t="shared" si="1"/>
        <v>192.3446701562645</v>
      </c>
      <c r="G18">
        <f t="shared" si="2"/>
        <v>514432.92608453397</v>
      </c>
      <c r="H18">
        <f t="shared" si="3"/>
        <v>514432.92608453397</v>
      </c>
      <c r="I18">
        <f t="shared" si="4"/>
        <v>514432.92608453397</v>
      </c>
    </row>
    <row r="19" spans="1:9">
      <c r="A19">
        <v>18</v>
      </c>
      <c r="B19">
        <v>1500</v>
      </c>
      <c r="C19">
        <v>1500</v>
      </c>
      <c r="D19">
        <v>1500</v>
      </c>
      <c r="E19">
        <f t="shared" si="0"/>
        <v>3.4495741268391174E-2</v>
      </c>
      <c r="F19">
        <f t="shared" si="1"/>
        <v>201.17916307725733</v>
      </c>
      <c r="G19">
        <f t="shared" si="2"/>
        <v>453274.04026666004</v>
      </c>
      <c r="H19">
        <f t="shared" si="3"/>
        <v>453274.04026666004</v>
      </c>
      <c r="I19">
        <f t="shared" si="4"/>
        <v>453274.04026666004</v>
      </c>
    </row>
    <row r="20" spans="1:9">
      <c r="A20">
        <v>19</v>
      </c>
      <c r="B20">
        <v>1500</v>
      </c>
      <c r="C20">
        <v>1500</v>
      </c>
      <c r="D20">
        <v>1500</v>
      </c>
      <c r="E20">
        <f t="shared" si="0"/>
        <v>2.9984414255763536E-2</v>
      </c>
      <c r="F20">
        <f t="shared" si="1"/>
        <v>205.6630973802821</v>
      </c>
      <c r="G20">
        <f t="shared" si="2"/>
        <v>393995.20332073286</v>
      </c>
      <c r="H20">
        <f t="shared" si="3"/>
        <v>393995.20332073286</v>
      </c>
      <c r="I20">
        <f t="shared" si="4"/>
        <v>393995.20332073286</v>
      </c>
    </row>
    <row r="22" spans="1:9">
      <c r="A22" s="1" t="s">
        <v>4</v>
      </c>
      <c r="B22">
        <v>12.231863774584859</v>
      </c>
    </row>
    <row r="23" spans="1:9">
      <c r="A23" t="s">
        <v>5</v>
      </c>
      <c r="B23">
        <v>2</v>
      </c>
    </row>
    <row r="24" spans="1:9">
      <c r="A24" t="s">
        <v>6</v>
      </c>
      <c r="B24">
        <f>2*B22/SQRT(3.14159 )</f>
        <v>13.80218608709699</v>
      </c>
    </row>
    <row r="25" spans="1:9">
      <c r="A25" t="s">
        <v>8</v>
      </c>
      <c r="B25">
        <v>66</v>
      </c>
    </row>
    <row r="26" spans="1:9">
      <c r="A26" t="s">
        <v>9</v>
      </c>
      <c r="B26">
        <v>65</v>
      </c>
    </row>
    <row r="27" spans="1:9">
      <c r="A27" t="s">
        <v>10</v>
      </c>
      <c r="B27">
        <v>77</v>
      </c>
    </row>
    <row r="28" spans="1:9">
      <c r="A28" t="s">
        <v>11</v>
      </c>
      <c r="B28">
        <f>B25^2*3.14159 /4</f>
        <v>3421.1915099999997</v>
      </c>
    </row>
    <row r="29" spans="1:9">
      <c r="A29" t="s">
        <v>12</v>
      </c>
      <c r="B29">
        <f>B26^2*3.14159 /4</f>
        <v>3318.3044374999999</v>
      </c>
    </row>
    <row r="30" spans="1:9">
      <c r="A30" t="s">
        <v>13</v>
      </c>
      <c r="B30">
        <f>B27^2*3.14159/4</f>
        <v>4656.6217774999996</v>
      </c>
    </row>
    <row r="31" spans="1:9">
      <c r="A31" t="s">
        <v>14</v>
      </c>
      <c r="B31">
        <f>(SUM(F2:F20))^(1/3)</f>
        <v>11.624824074810373</v>
      </c>
    </row>
    <row r="32" spans="1:9">
      <c r="A32" t="s">
        <v>16</v>
      </c>
      <c r="B32">
        <f>0.5*1.225*B31^3</f>
        <v>962.19979620527749</v>
      </c>
    </row>
    <row r="33" spans="1:3">
      <c r="A33" t="s">
        <v>17</v>
      </c>
      <c r="B33">
        <f>B32*B28</f>
        <v>3291869.7737012254</v>
      </c>
    </row>
    <row r="34" spans="1:3">
      <c r="A34" t="s">
        <v>18</v>
      </c>
      <c r="B34">
        <f>B32*B29</f>
        <v>3192871.8535095681</v>
      </c>
    </row>
    <row r="35" spans="1:3">
      <c r="A35" t="s">
        <v>19</v>
      </c>
      <c r="B35">
        <f>B32*B30</f>
        <v>4480600.5253155567</v>
      </c>
    </row>
    <row r="36" spans="1:3">
      <c r="A36" s="3" t="s">
        <v>23</v>
      </c>
      <c r="B36" s="3">
        <f>SUM(G2:G20)</f>
        <v>6616042.9181063985</v>
      </c>
      <c r="C36" s="3" t="s">
        <v>26</v>
      </c>
    </row>
    <row r="37" spans="1:3">
      <c r="A37" s="3" t="s">
        <v>24</v>
      </c>
      <c r="B37" s="3">
        <f>SUM(H2:H20)</f>
        <v>6456238.9382160557</v>
      </c>
      <c r="C37" s="3" t="s">
        <v>26</v>
      </c>
    </row>
    <row r="38" spans="1:3">
      <c r="A38" s="3" t="s">
        <v>25</v>
      </c>
      <c r="B38" s="3">
        <f>SUM(I2:I20)</f>
        <v>7345588.9580151597</v>
      </c>
      <c r="C38" s="3" t="s">
        <v>26</v>
      </c>
    </row>
    <row r="39" spans="1:3">
      <c r="A39" t="s">
        <v>27</v>
      </c>
      <c r="B39">
        <f>B33*8760/1000</f>
        <v>28836779.217622735</v>
      </c>
      <c r="C39" t="s">
        <v>26</v>
      </c>
    </row>
    <row r="40" spans="1:3">
      <c r="A40" t="s">
        <v>28</v>
      </c>
      <c r="B40">
        <f>B34*8760/1000</f>
        <v>27969557.436743818</v>
      </c>
    </row>
    <row r="41" spans="1:3">
      <c r="A41" t="s">
        <v>29</v>
      </c>
      <c r="B41">
        <f>B35*8760/1000</f>
        <v>39250060.601764277</v>
      </c>
    </row>
    <row r="42" spans="1:3">
      <c r="A42" s="2" t="s">
        <v>30</v>
      </c>
      <c r="B42" s="2">
        <f>B36/B39</f>
        <v>0.22943071652271077</v>
      </c>
    </row>
    <row r="43" spans="1:3">
      <c r="A43" s="2" t="s">
        <v>31</v>
      </c>
      <c r="B43" s="2">
        <f>B37/B40</f>
        <v>0.23083092940664288</v>
      </c>
    </row>
    <row r="44" spans="1:3">
      <c r="A44" s="2" t="s">
        <v>32</v>
      </c>
      <c r="B44" s="2">
        <f>B38/B41</f>
        <v>0.18714847430541237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2020-07-07T14:33:42Z</dcterms:created>
  <dcterms:modified xsi:type="dcterms:W3CDTF">2020-07-07T15:39:00Z</dcterms:modified>
</cp:coreProperties>
</file>