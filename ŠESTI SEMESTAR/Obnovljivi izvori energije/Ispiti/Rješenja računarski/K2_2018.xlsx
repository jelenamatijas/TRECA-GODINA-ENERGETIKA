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/>
  </bookViews>
  <sheets>
    <sheet name="Zadatak" sheetId="4" r:id="rId1"/>
    <sheet name="Sheet5" sheetId="5" r:id="rId2"/>
  </sheets>
  <calcPr calcId="144525"/>
</workbook>
</file>

<file path=xl/calcChain.xml><?xml version="1.0" encoding="utf-8"?>
<calcChain xmlns="http://schemas.openxmlformats.org/spreadsheetml/2006/main">
  <c r="B45" i="4" l="1"/>
  <c r="B44" i="4"/>
  <c r="B30" i="4"/>
  <c r="B29" i="4"/>
  <c r="B27" i="4"/>
  <c r="B26" i="4"/>
  <c r="B25" i="4"/>
  <c r="B24" i="4"/>
  <c r="B23" i="4"/>
  <c r="B22" i="4"/>
  <c r="B42" i="4"/>
  <c r="B41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" i="4"/>
  <c r="B39" i="4"/>
  <c r="B38" i="4"/>
  <c r="B36" i="4" l="1"/>
  <c r="B35" i="4"/>
  <c r="B21" i="4"/>
  <c r="B2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" i="4"/>
  <c r="B18" i="4"/>
  <c r="B17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" i="4"/>
  <c r="B16" i="4"/>
  <c r="B15" i="4"/>
  <c r="B12" i="4"/>
  <c r="B11" i="4"/>
</calcChain>
</file>

<file path=xl/sharedStrings.xml><?xml version="1.0" encoding="utf-8"?>
<sst xmlns="http://schemas.openxmlformats.org/spreadsheetml/2006/main" count="76" uniqueCount="58">
  <si>
    <t>Podaci</t>
  </si>
  <si>
    <t>k</t>
  </si>
  <si>
    <t>Investicioni troškovi</t>
  </si>
  <si>
    <t>KM/kW</t>
  </si>
  <si>
    <t>Održavanje</t>
  </si>
  <si>
    <t>Rok otplate</t>
  </si>
  <si>
    <t>god</t>
  </si>
  <si>
    <t xml:space="preserve">Kamatna stopa </t>
  </si>
  <si>
    <t>v [m/s]</t>
  </si>
  <si>
    <t>Pn NEG</t>
  </si>
  <si>
    <t>Pn Nordex</t>
  </si>
  <si>
    <t>MW</t>
  </si>
  <si>
    <t>D NEG</t>
  </si>
  <si>
    <t>m</t>
  </si>
  <si>
    <t>D Nordex</t>
  </si>
  <si>
    <t>A NEG</t>
  </si>
  <si>
    <t>A Nordex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</si>
  <si>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</si>
  <si>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P [kW] NEG</t>
  </si>
  <si>
    <t>P [kW] Nordex</t>
  </si>
  <si>
    <t>m/s</t>
  </si>
  <si>
    <t>t [h] NEG</t>
  </si>
  <si>
    <t>t [h] Nordex</t>
  </si>
  <si>
    <t>c NEG</t>
  </si>
  <si>
    <t>c Nordex</t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</si>
  <si>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sr </t>
    </r>
    <r>
      <rPr>
        <sz val="11"/>
        <color theme="1"/>
        <rFont val="Calibri"/>
        <family val="2"/>
        <scheme val="minor"/>
      </rPr>
      <t>NEG</t>
    </r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</si>
  <si>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sr </t>
    </r>
    <r>
      <rPr>
        <sz val="11"/>
        <color theme="1"/>
        <rFont val="Calibri"/>
        <family val="2"/>
        <scheme val="minor"/>
      </rPr>
      <t>Nordex</t>
    </r>
  </si>
  <si>
    <t>CF NEG</t>
  </si>
  <si>
    <t>CF Nordex</t>
  </si>
  <si>
    <t>Proračun</t>
  </si>
  <si>
    <t>Psr NEG</t>
  </si>
  <si>
    <t>Psr Nordex</t>
  </si>
  <si>
    <t>vi3*ti NEG</t>
  </si>
  <si>
    <t>vi3*ti Nordex</t>
  </si>
  <si>
    <r>
      <rPr>
        <sz val="11"/>
        <color theme="1"/>
        <rFont val="Calibri"/>
        <family val="2"/>
      </rPr>
      <t>ρ</t>
    </r>
    <r>
      <rPr>
        <sz val="11"/>
        <color theme="1"/>
        <rFont val="Calibri"/>
        <family val="2"/>
        <charset val="238"/>
      </rPr>
      <t>0</t>
    </r>
  </si>
  <si>
    <t>kg/m3</t>
  </si>
  <si>
    <t>veff NEG</t>
  </si>
  <si>
    <t>veff Nordex</t>
  </si>
  <si>
    <t>kW</t>
  </si>
  <si>
    <t>Wgod NEG</t>
  </si>
  <si>
    <t>Wgod Nordex</t>
  </si>
  <si>
    <t>kWh</t>
  </si>
  <si>
    <t>Wgod NEG CF</t>
  </si>
  <si>
    <t>Wgod Nordex CF</t>
  </si>
  <si>
    <t>Pi*ti NEG</t>
  </si>
  <si>
    <t>Pi*ti Nordex</t>
  </si>
  <si>
    <t>Povoljna cijena za NEG</t>
  </si>
  <si>
    <t>Povoljna cijena za Nordex</t>
  </si>
  <si>
    <t>Ukupni investicioni troškovi NEG</t>
  </si>
  <si>
    <t>Ukupni investicioni troškovi Nordex</t>
  </si>
  <si>
    <t>KM</t>
  </si>
  <si>
    <t>Održavanje NEG</t>
  </si>
  <si>
    <t>Održavanje Nordex</t>
  </si>
  <si>
    <t>Kamata NEG</t>
  </si>
  <si>
    <t>Kamata Nordex</t>
  </si>
  <si>
    <t>Rata kredita NEG</t>
  </si>
  <si>
    <t>Rata kredita Nordex</t>
  </si>
  <si>
    <t>KM/kWh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</si>
</sst>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K_M_-;\-* #,##0.00\ _K_M_-;_-* &quot;-&quot;??\ _K_M_-;_-@_-"/>
    <numFmt numFmtId="164" formatCode="0.0%"/>
    <numFmt numFmtId="165" formatCode="0.00000"/>
    <numFmt numFmtId="166" formatCode="0.0000"/>
    <numFmt numFmtId="167" formatCode="0.000"/>
  </numFmts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9" fontId="0" fillId="0" borderId="0" xfId="2" applyFont="1"/>
    <xf numFmtId="164" fontId="0" fillId="0" borderId="0" xfId="2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5" fillId="0" borderId="0" xfId="0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tabSelected="1" workbookViewId="0">
      <selection activeCell="B30" sqref="B30"/>
    </sheetView>
  </sheetViews>
  <sheetFormatPr defaultRowHeight="15" x14ac:dyDescent="0.25"/>
  <cols>
    <col min="1" max="1" width="33.28515625" bestFit="1" customWidth="1"/>
    <col min="2" max="2" width="16.5703125" bestFit="1" customWidth="1"/>
    <col min="3" max="3" width="14" bestFit="1" customWidth="1"/>
    <col min="6" max="6" width="7.28515625" bestFit="1" customWidth="1"/>
    <col min="7" max="7" width="11" bestFit="1" customWidth="1"/>
    <col min="8" max="8" width="14" bestFit="1" customWidth="1"/>
    <col min="10" max="10" width="11.7109375" bestFit="1" customWidth="1"/>
    <col min="12" max="12" width="10" bestFit="1" customWidth="1"/>
    <col min="13" max="13" width="12.85546875" bestFit="1" customWidth="1"/>
    <col min="16" max="16" width="12" bestFit="1" customWidth="1"/>
  </cols>
  <sheetData>
    <row r="1" spans="1:16" x14ac:dyDescent="0.25">
      <c r="A1" s="1" t="s">
        <v>0</v>
      </c>
      <c r="B1" s="1"/>
      <c r="C1" s="1"/>
      <c r="F1" t="s">
        <v>8</v>
      </c>
      <c r="G1" t="s">
        <v>18</v>
      </c>
      <c r="H1" t="s">
        <v>19</v>
      </c>
      <c r="I1" t="s">
        <v>21</v>
      </c>
      <c r="J1" t="s">
        <v>22</v>
      </c>
      <c r="L1" t="s">
        <v>32</v>
      </c>
      <c r="M1" t="s">
        <v>33</v>
      </c>
      <c r="O1" t="s">
        <v>44</v>
      </c>
      <c r="P1" t="s">
        <v>45</v>
      </c>
    </row>
    <row r="2" spans="1:16" x14ac:dyDescent="0.25">
      <c r="A2" t="s">
        <v>1</v>
      </c>
      <c r="B2">
        <v>2</v>
      </c>
      <c r="F2">
        <v>0</v>
      </c>
      <c r="G2">
        <v>0</v>
      </c>
      <c r="H2">
        <v>0</v>
      </c>
      <c r="I2">
        <f>WEIBULL(F2,$B$2,$B$15,0)*8760</f>
        <v>0</v>
      </c>
      <c r="J2">
        <f>WEIBULL(F2,$B$2,$B$16,0)*8760</f>
        <v>0</v>
      </c>
      <c r="L2">
        <f>F2^3*I2</f>
        <v>0</v>
      </c>
      <c r="M2">
        <f>F2^3*J2</f>
        <v>0</v>
      </c>
      <c r="O2">
        <f>G2*I2</f>
        <v>0</v>
      </c>
      <c r="P2">
        <f>H2*J2</f>
        <v>0</v>
      </c>
    </row>
    <row r="3" spans="1:16" x14ac:dyDescent="0.25">
      <c r="A3" t="s">
        <v>2</v>
      </c>
      <c r="B3" s="2">
        <v>3500</v>
      </c>
      <c r="C3" t="s">
        <v>3</v>
      </c>
      <c r="F3">
        <v>1</v>
      </c>
      <c r="G3">
        <v>0</v>
      </c>
      <c r="H3">
        <v>0</v>
      </c>
      <c r="I3">
        <f t="shared" ref="I3:I28" si="0">WEIBULL(F3,$B$2,$B$15,0)*8760</f>
        <v>373.97850971699233</v>
      </c>
      <c r="J3">
        <f t="shared" ref="J3:J28" si="1">WEIBULL(F3,$B$2,$B$16,0)*8760</f>
        <v>212.38039005352346</v>
      </c>
      <c r="L3">
        <f t="shared" ref="L3:L28" si="2">F3^3*I3</f>
        <v>373.97850971699233</v>
      </c>
      <c r="M3">
        <f t="shared" ref="M3:M28" si="3">F3^3*J3</f>
        <v>212.38039005352346</v>
      </c>
      <c r="O3">
        <f t="shared" ref="O3:O28" si="4">G3*I3</f>
        <v>0</v>
      </c>
      <c r="P3">
        <f t="shared" ref="P3:P28" si="5">H3*J3</f>
        <v>0</v>
      </c>
    </row>
    <row r="4" spans="1:16" x14ac:dyDescent="0.25">
      <c r="A4" t="s">
        <v>4</v>
      </c>
      <c r="B4" s="3">
        <v>0.01</v>
      </c>
      <c r="F4">
        <v>2</v>
      </c>
      <c r="G4">
        <v>0</v>
      </c>
      <c r="H4">
        <v>0</v>
      </c>
      <c r="I4">
        <f t="shared" si="0"/>
        <v>700.57096630882506</v>
      </c>
      <c r="J4">
        <f t="shared" si="1"/>
        <v>409.40733978106579</v>
      </c>
      <c r="L4">
        <f t="shared" si="2"/>
        <v>5604.5677304706005</v>
      </c>
      <c r="M4">
        <f t="shared" si="3"/>
        <v>3275.2587182485263</v>
      </c>
      <c r="O4">
        <f t="shared" si="4"/>
        <v>0</v>
      </c>
      <c r="P4">
        <f t="shared" si="5"/>
        <v>0</v>
      </c>
    </row>
    <row r="5" spans="1:16" x14ac:dyDescent="0.25">
      <c r="A5" t="s">
        <v>5</v>
      </c>
      <c r="B5">
        <v>25</v>
      </c>
      <c r="C5" t="s">
        <v>6</v>
      </c>
      <c r="F5">
        <v>3</v>
      </c>
      <c r="G5">
        <v>0</v>
      </c>
      <c r="H5">
        <v>0</v>
      </c>
      <c r="I5">
        <f t="shared" si="0"/>
        <v>942.2566583721723</v>
      </c>
      <c r="J5">
        <f t="shared" si="1"/>
        <v>577.56239381647515</v>
      </c>
      <c r="L5">
        <f t="shared" si="2"/>
        <v>25440.929776048652</v>
      </c>
      <c r="M5">
        <f t="shared" si="3"/>
        <v>15594.18463304483</v>
      </c>
      <c r="O5">
        <f t="shared" si="4"/>
        <v>0</v>
      </c>
      <c r="P5">
        <f t="shared" si="5"/>
        <v>0</v>
      </c>
    </row>
    <row r="6" spans="1:16" x14ac:dyDescent="0.25">
      <c r="A6" t="s">
        <v>7</v>
      </c>
      <c r="B6" s="4">
        <v>6.8000000000000005E-2</v>
      </c>
      <c r="F6">
        <v>4</v>
      </c>
      <c r="G6">
        <v>10</v>
      </c>
      <c r="H6">
        <v>25</v>
      </c>
      <c r="I6">
        <f t="shared" si="0"/>
        <v>1078.4104835297389</v>
      </c>
      <c r="J6">
        <f t="shared" si="1"/>
        <v>706.69249377912934</v>
      </c>
      <c r="L6">
        <f t="shared" si="2"/>
        <v>69018.270945903292</v>
      </c>
      <c r="M6">
        <f t="shared" si="3"/>
        <v>45228.319601864278</v>
      </c>
      <c r="O6">
        <f t="shared" si="4"/>
        <v>10784.104835297388</v>
      </c>
      <c r="P6">
        <f t="shared" si="5"/>
        <v>17667.312344478232</v>
      </c>
    </row>
    <row r="7" spans="1:16" x14ac:dyDescent="0.25">
      <c r="A7" t="s">
        <v>9</v>
      </c>
      <c r="B7">
        <v>1</v>
      </c>
      <c r="C7" t="s">
        <v>11</v>
      </c>
      <c r="F7">
        <v>5</v>
      </c>
      <c r="G7">
        <v>51</v>
      </c>
      <c r="H7">
        <v>78</v>
      </c>
      <c r="I7">
        <f t="shared" si="0"/>
        <v>1107.6960116522098</v>
      </c>
      <c r="J7">
        <f t="shared" si="1"/>
        <v>790.99572303464754</v>
      </c>
      <c r="L7">
        <f t="shared" si="2"/>
        <v>138462.00145652622</v>
      </c>
      <c r="M7">
        <f t="shared" si="3"/>
        <v>98874.465379330941</v>
      </c>
      <c r="O7">
        <f t="shared" si="4"/>
        <v>56492.496594262702</v>
      </c>
      <c r="P7">
        <f t="shared" si="5"/>
        <v>61697.666396702509</v>
      </c>
    </row>
    <row r="8" spans="1:16" x14ac:dyDescent="0.25">
      <c r="A8" t="s">
        <v>10</v>
      </c>
      <c r="B8">
        <v>1.3</v>
      </c>
      <c r="C8" t="s">
        <v>11</v>
      </c>
      <c r="F8">
        <v>6</v>
      </c>
      <c r="G8">
        <v>104</v>
      </c>
      <c r="H8">
        <v>150</v>
      </c>
      <c r="I8">
        <f t="shared" si="0"/>
        <v>1045.6314670572308</v>
      </c>
      <c r="J8">
        <f t="shared" si="1"/>
        <v>829.33469591771598</v>
      </c>
      <c r="L8">
        <f t="shared" si="2"/>
        <v>225856.39688436186</v>
      </c>
      <c r="M8">
        <f t="shared" si="3"/>
        <v>179136.29431822666</v>
      </c>
      <c r="O8">
        <f t="shared" si="4"/>
        <v>108745.672573952</v>
      </c>
      <c r="P8">
        <f t="shared" si="5"/>
        <v>124400.2043876574</v>
      </c>
    </row>
    <row r="9" spans="1:16" x14ac:dyDescent="0.25">
      <c r="A9" t="s">
        <v>12</v>
      </c>
      <c r="B9">
        <v>54</v>
      </c>
      <c r="C9" t="s">
        <v>13</v>
      </c>
      <c r="F9">
        <v>7</v>
      </c>
      <c r="G9">
        <v>186</v>
      </c>
      <c r="H9">
        <v>234</v>
      </c>
      <c r="I9">
        <f t="shared" si="0"/>
        <v>918.65526563129504</v>
      </c>
      <c r="J9">
        <f t="shared" si="1"/>
        <v>824.88211570003659</v>
      </c>
      <c r="L9">
        <f t="shared" si="2"/>
        <v>315098.7561115342</v>
      </c>
      <c r="M9">
        <f t="shared" si="3"/>
        <v>282934.56568511255</v>
      </c>
      <c r="O9">
        <f t="shared" si="4"/>
        <v>170869.87940742087</v>
      </c>
      <c r="P9">
        <f t="shared" si="5"/>
        <v>193022.41507380857</v>
      </c>
    </row>
    <row r="10" spans="1:16" x14ac:dyDescent="0.25">
      <c r="A10" t="s">
        <v>14</v>
      </c>
      <c r="B10">
        <v>60</v>
      </c>
      <c r="C10" t="s">
        <v>13</v>
      </c>
      <c r="F10">
        <v>8</v>
      </c>
      <c r="G10">
        <v>291</v>
      </c>
      <c r="H10">
        <v>381</v>
      </c>
      <c r="I10">
        <f t="shared" si="0"/>
        <v>756.87119787886593</v>
      </c>
      <c r="J10">
        <f t="shared" si="1"/>
        <v>784.22360029292281</v>
      </c>
      <c r="L10">
        <f t="shared" si="2"/>
        <v>387518.05331397936</v>
      </c>
      <c r="M10">
        <f t="shared" si="3"/>
        <v>401522.48334997648</v>
      </c>
      <c r="O10">
        <f t="shared" si="4"/>
        <v>220249.51858275</v>
      </c>
      <c r="P10">
        <f t="shared" si="5"/>
        <v>298789.19171160361</v>
      </c>
    </row>
    <row r="11" spans="1:16" ht="17.25" x14ac:dyDescent="0.25">
      <c r="A11" t="s">
        <v>15</v>
      </c>
      <c r="B11" s="8">
        <f>(B9^2/4)*PI()</f>
        <v>2290.221044466959</v>
      </c>
      <c r="C11" t="s">
        <v>17</v>
      </c>
      <c r="F11">
        <v>9</v>
      </c>
      <c r="G11">
        <v>412</v>
      </c>
      <c r="H11">
        <v>557</v>
      </c>
      <c r="I11">
        <f t="shared" si="0"/>
        <v>587.62774486827539</v>
      </c>
      <c r="J11">
        <f t="shared" si="1"/>
        <v>716.12578767906939</v>
      </c>
      <c r="L11">
        <f t="shared" si="2"/>
        <v>428380.62600897276</v>
      </c>
      <c r="M11">
        <f t="shared" si="3"/>
        <v>522055.69921804161</v>
      </c>
      <c r="O11">
        <f t="shared" si="4"/>
        <v>242102.63088572945</v>
      </c>
      <c r="P11">
        <f t="shared" si="5"/>
        <v>398882.06373724167</v>
      </c>
    </row>
    <row r="12" spans="1:16" ht="17.25" x14ac:dyDescent="0.25">
      <c r="A12" t="s">
        <v>16</v>
      </c>
      <c r="B12" s="8">
        <f>(B10^2/4)*PI()</f>
        <v>2827.4333882308138</v>
      </c>
      <c r="C12" t="s">
        <v>17</v>
      </c>
      <c r="F12">
        <v>10</v>
      </c>
      <c r="G12">
        <v>529</v>
      </c>
      <c r="H12">
        <v>752</v>
      </c>
      <c r="I12">
        <f t="shared" si="0"/>
        <v>431.35804615112141</v>
      </c>
      <c r="J12">
        <f t="shared" si="1"/>
        <v>630.20884758017542</v>
      </c>
      <c r="L12">
        <f t="shared" si="2"/>
        <v>431358.04615112144</v>
      </c>
      <c r="M12">
        <f t="shared" si="3"/>
        <v>630208.84758017538</v>
      </c>
      <c r="O12">
        <f t="shared" si="4"/>
        <v>228188.40641394322</v>
      </c>
      <c r="P12">
        <f t="shared" si="5"/>
        <v>473917.05338029191</v>
      </c>
    </row>
    <row r="13" spans="1:16" ht="18" x14ac:dyDescent="0.35">
      <c r="A13" t="s">
        <v>25</v>
      </c>
      <c r="B13">
        <v>6</v>
      </c>
      <c r="C13" t="s">
        <v>20</v>
      </c>
      <c r="F13">
        <v>11</v>
      </c>
      <c r="G13">
        <v>655</v>
      </c>
      <c r="H13">
        <v>926</v>
      </c>
      <c r="I13">
        <f t="shared" si="0"/>
        <v>300.09519167859048</v>
      </c>
      <c r="J13">
        <f t="shared" si="1"/>
        <v>535.74198611406928</v>
      </c>
      <c r="L13">
        <f t="shared" si="2"/>
        <v>399426.70012420393</v>
      </c>
      <c r="M13">
        <f t="shared" si="3"/>
        <v>713072.58351782616</v>
      </c>
      <c r="O13">
        <f t="shared" si="4"/>
        <v>196562.35054947677</v>
      </c>
      <c r="P13">
        <f t="shared" si="5"/>
        <v>496097.07914162817</v>
      </c>
    </row>
    <row r="14" spans="1:16" ht="18" x14ac:dyDescent="0.35">
      <c r="A14" t="s">
        <v>26</v>
      </c>
      <c r="B14">
        <v>8</v>
      </c>
      <c r="C14" t="s">
        <v>20</v>
      </c>
      <c r="F14">
        <v>12</v>
      </c>
      <c r="G14">
        <v>794</v>
      </c>
      <c r="H14">
        <v>1050</v>
      </c>
      <c r="I14">
        <f t="shared" si="0"/>
        <v>198.21037109943322</v>
      </c>
      <c r="J14">
        <f t="shared" si="1"/>
        <v>440.72080865120654</v>
      </c>
      <c r="L14">
        <f t="shared" si="2"/>
        <v>342507.52125982061</v>
      </c>
      <c r="M14">
        <f t="shared" si="3"/>
        <v>761565.55734928488</v>
      </c>
      <c r="O14">
        <f t="shared" si="4"/>
        <v>157379.03465294998</v>
      </c>
      <c r="P14">
        <f t="shared" si="5"/>
        <v>462756.84908376687</v>
      </c>
    </row>
    <row r="15" spans="1:16" x14ac:dyDescent="0.25">
      <c r="A15" t="s">
        <v>23</v>
      </c>
      <c r="B15" s="5">
        <f>(2*B13)/SQRT(PI())</f>
        <v>6.7702750025730758</v>
      </c>
      <c r="F15">
        <v>13</v>
      </c>
      <c r="G15">
        <v>911</v>
      </c>
      <c r="H15">
        <v>1159</v>
      </c>
      <c r="I15">
        <f t="shared" si="0"/>
        <v>124.45650076247732</v>
      </c>
      <c r="J15">
        <f t="shared" si="1"/>
        <v>351.30617549676202</v>
      </c>
      <c r="L15">
        <f t="shared" si="2"/>
        <v>273430.93217516266</v>
      </c>
      <c r="M15">
        <f t="shared" si="3"/>
        <v>771819.66756638617</v>
      </c>
      <c r="O15">
        <f t="shared" si="4"/>
        <v>113379.87219461684</v>
      </c>
      <c r="P15">
        <f t="shared" si="5"/>
        <v>407163.85740074719</v>
      </c>
    </row>
    <row r="16" spans="1:16" x14ac:dyDescent="0.25">
      <c r="A16" t="s">
        <v>24</v>
      </c>
      <c r="B16" s="5">
        <f>(2*B14)/SQRT(PI())</f>
        <v>9.0270333367641005</v>
      </c>
      <c r="F16">
        <v>14</v>
      </c>
      <c r="G16">
        <v>986</v>
      </c>
      <c r="H16">
        <v>1249</v>
      </c>
      <c r="I16">
        <f t="shared" si="0"/>
        <v>74.367246745479832</v>
      </c>
      <c r="J16">
        <f t="shared" si="1"/>
        <v>271.62603801534527</v>
      </c>
      <c r="L16">
        <f t="shared" si="2"/>
        <v>204063.72506959666</v>
      </c>
      <c r="M16">
        <f t="shared" si="3"/>
        <v>745341.8483141074</v>
      </c>
      <c r="O16">
        <f t="shared" si="4"/>
        <v>73326.105291043117</v>
      </c>
      <c r="P16">
        <f t="shared" si="5"/>
        <v>339260.92148116627</v>
      </c>
    </row>
    <row r="17" spans="1:16" x14ac:dyDescent="0.25">
      <c r="A17" t="s">
        <v>27</v>
      </c>
      <c r="B17" s="5">
        <f>0.087*B13-(B7*1000)/B9^2</f>
        <v>0.1790644718792867</v>
      </c>
      <c r="F17">
        <v>15</v>
      </c>
      <c r="G17">
        <v>1006</v>
      </c>
      <c r="H17">
        <v>1301</v>
      </c>
      <c r="I17">
        <f t="shared" si="0"/>
        <v>42.32282889377084</v>
      </c>
      <c r="J17">
        <f t="shared" si="1"/>
        <v>203.8808161937109</v>
      </c>
      <c r="L17">
        <f t="shared" si="2"/>
        <v>142839.5475164766</v>
      </c>
      <c r="M17">
        <f t="shared" si="3"/>
        <v>688097.75465377432</v>
      </c>
      <c r="O17">
        <f t="shared" si="4"/>
        <v>42576.765867133465</v>
      </c>
      <c r="P17">
        <f t="shared" si="5"/>
        <v>265248.94186801789</v>
      </c>
    </row>
    <row r="18" spans="1:16" x14ac:dyDescent="0.25">
      <c r="A18" t="s">
        <v>28</v>
      </c>
      <c r="B18" s="5">
        <f>0.087*B14-(B8*1000)/B10^2</f>
        <v>0.33488888888888885</v>
      </c>
      <c r="F18">
        <v>16</v>
      </c>
      <c r="G18">
        <v>998</v>
      </c>
      <c r="H18">
        <v>1306</v>
      </c>
      <c r="I18">
        <f t="shared" si="0"/>
        <v>22.955328004514037</v>
      </c>
      <c r="J18">
        <f t="shared" si="1"/>
        <v>148.65777832457488</v>
      </c>
      <c r="L18">
        <f t="shared" si="2"/>
        <v>94025.023506489495</v>
      </c>
      <c r="M18">
        <f t="shared" si="3"/>
        <v>608902.2600174587</v>
      </c>
      <c r="O18">
        <f t="shared" si="4"/>
        <v>22909.417348505009</v>
      </c>
      <c r="P18">
        <f t="shared" si="5"/>
        <v>194147.0584918948</v>
      </c>
    </row>
    <row r="19" spans="1:16" x14ac:dyDescent="0.25">
      <c r="A19" s="9" t="s">
        <v>34</v>
      </c>
      <c r="B19">
        <v>1.2250000000000001</v>
      </c>
      <c r="C19" t="s">
        <v>35</v>
      </c>
      <c r="F19">
        <v>17</v>
      </c>
      <c r="G19">
        <v>984</v>
      </c>
      <c r="H19">
        <v>1292</v>
      </c>
      <c r="I19">
        <f t="shared" si="0"/>
        <v>11.872518646361705</v>
      </c>
      <c r="J19">
        <f t="shared" si="1"/>
        <v>105.35130930579894</v>
      </c>
      <c r="L19">
        <f t="shared" si="2"/>
        <v>58329.684109575057</v>
      </c>
      <c r="M19">
        <f t="shared" si="3"/>
        <v>517590.98261939018</v>
      </c>
      <c r="O19">
        <f t="shared" si="4"/>
        <v>11682.558348019918</v>
      </c>
      <c r="P19">
        <f t="shared" si="5"/>
        <v>136113.89162309223</v>
      </c>
    </row>
    <row r="20" spans="1:16" x14ac:dyDescent="0.25">
      <c r="A20" t="s">
        <v>36</v>
      </c>
      <c r="B20" s="8">
        <f>(SUM(L2:L28)/SUM(I2:I28))^(1/3)</f>
        <v>7.4532446497875933</v>
      </c>
      <c r="C20" t="s">
        <v>20</v>
      </c>
      <c r="F20">
        <v>18</v>
      </c>
      <c r="G20">
        <v>971</v>
      </c>
      <c r="H20">
        <v>1283</v>
      </c>
      <c r="I20">
        <f t="shared" si="0"/>
        <v>5.8579706496035593</v>
      </c>
      <c r="J20">
        <f t="shared" si="1"/>
        <v>72.598507339456191</v>
      </c>
      <c r="L20">
        <f t="shared" si="2"/>
        <v>34163.68482848796</v>
      </c>
      <c r="M20">
        <f t="shared" si="3"/>
        <v>423394.49480370851</v>
      </c>
      <c r="O20">
        <f t="shared" si="4"/>
        <v>5688.0895007650561</v>
      </c>
      <c r="P20">
        <f t="shared" si="5"/>
        <v>93143.884916522293</v>
      </c>
    </row>
    <row r="21" spans="1:16" x14ac:dyDescent="0.25">
      <c r="A21" t="s">
        <v>37</v>
      </c>
      <c r="B21" s="8">
        <f>(SUM(M2:M28)/SUM(J2:J28))^(1/3)</f>
        <v>9.9196304024530555</v>
      </c>
      <c r="C21" t="s">
        <v>20</v>
      </c>
      <c r="F21">
        <v>19</v>
      </c>
      <c r="G21">
        <v>960</v>
      </c>
      <c r="H21">
        <v>1282</v>
      </c>
      <c r="I21">
        <f t="shared" si="0"/>
        <v>2.7584134577659776</v>
      </c>
      <c r="J21">
        <f t="shared" si="1"/>
        <v>48.664668287568603</v>
      </c>
      <c r="L21">
        <f t="shared" si="2"/>
        <v>18919.957906816839</v>
      </c>
      <c r="M21">
        <f t="shared" si="3"/>
        <v>333790.95978443307</v>
      </c>
      <c r="O21">
        <f t="shared" si="4"/>
        <v>2648.0769194553386</v>
      </c>
      <c r="P21">
        <f t="shared" si="5"/>
        <v>62388.104744662945</v>
      </c>
    </row>
    <row r="22" spans="1:16" x14ac:dyDescent="0.25">
      <c r="A22" t="s">
        <v>48</v>
      </c>
      <c r="B22" s="10">
        <f>B3*B7*1000</f>
        <v>3500000</v>
      </c>
      <c r="C22" t="s">
        <v>50</v>
      </c>
      <c r="F22">
        <v>20</v>
      </c>
      <c r="G22">
        <v>962</v>
      </c>
      <c r="H22">
        <v>1288</v>
      </c>
      <c r="I22">
        <f t="shared" si="0"/>
        <v>1.2399870851314398</v>
      </c>
      <c r="J22">
        <f t="shared" si="1"/>
        <v>31.74212167032805</v>
      </c>
      <c r="L22">
        <f t="shared" si="2"/>
        <v>9919.8966810515194</v>
      </c>
      <c r="M22">
        <f t="shared" si="3"/>
        <v>253936.97336262441</v>
      </c>
      <c r="O22">
        <f t="shared" si="4"/>
        <v>1192.867575896445</v>
      </c>
      <c r="P22">
        <f t="shared" si="5"/>
        <v>40883.852711382526</v>
      </c>
    </row>
    <row r="23" spans="1:16" x14ac:dyDescent="0.25">
      <c r="A23" t="s">
        <v>49</v>
      </c>
      <c r="B23" s="10">
        <f>B3*B8*1000</f>
        <v>4550000</v>
      </c>
      <c r="C23" t="s">
        <v>50</v>
      </c>
      <c r="F23">
        <v>21</v>
      </c>
      <c r="G23">
        <v>967</v>
      </c>
      <c r="H23">
        <v>1292</v>
      </c>
      <c r="I23">
        <f t="shared" si="0"/>
        <v>0.53227760430629278</v>
      </c>
      <c r="J23">
        <f t="shared" si="1"/>
        <v>20.151707493279396</v>
      </c>
      <c r="L23">
        <f t="shared" si="2"/>
        <v>4929.4228934805778</v>
      </c>
      <c r="M23">
        <f t="shared" si="3"/>
        <v>186624.96309526049</v>
      </c>
      <c r="O23">
        <f t="shared" si="4"/>
        <v>514.71244336418511</v>
      </c>
      <c r="P23">
        <f t="shared" si="5"/>
        <v>26036.00608131698</v>
      </c>
    </row>
    <row r="24" spans="1:16" x14ac:dyDescent="0.25">
      <c r="A24" t="s">
        <v>51</v>
      </c>
      <c r="B24" s="10">
        <f>B22*B4</f>
        <v>35000</v>
      </c>
      <c r="C24" t="s">
        <v>50</v>
      </c>
      <c r="F24">
        <v>22</v>
      </c>
      <c r="G24">
        <v>974</v>
      </c>
      <c r="H24">
        <v>1300</v>
      </c>
      <c r="I24">
        <f t="shared" si="0"/>
        <v>0.21823461693311341</v>
      </c>
      <c r="J24">
        <f t="shared" si="1"/>
        <v>12.454968860187293</v>
      </c>
      <c r="L24">
        <f t="shared" si="2"/>
        <v>2323.7622011037915</v>
      </c>
      <c r="M24">
        <f t="shared" si="3"/>
        <v>132620.5084232743</v>
      </c>
      <c r="O24">
        <f t="shared" si="4"/>
        <v>212.56051689285246</v>
      </c>
      <c r="P24">
        <f t="shared" si="5"/>
        <v>16191.45951824348</v>
      </c>
    </row>
    <row r="25" spans="1:16" x14ac:dyDescent="0.25">
      <c r="A25" t="s">
        <v>52</v>
      </c>
      <c r="B25" s="10">
        <f>B23*B4</f>
        <v>45500</v>
      </c>
      <c r="C25" t="s">
        <v>50</v>
      </c>
      <c r="F25">
        <v>23</v>
      </c>
      <c r="G25">
        <v>980</v>
      </c>
      <c r="H25">
        <v>1313</v>
      </c>
      <c r="I25">
        <f t="shared" si="0"/>
        <v>8.5479344918975464E-2</v>
      </c>
      <c r="J25">
        <f t="shared" si="1"/>
        <v>7.4957659974315218</v>
      </c>
      <c r="L25">
        <f t="shared" si="2"/>
        <v>1040.0271896291745</v>
      </c>
      <c r="M25">
        <f t="shared" si="3"/>
        <v>91200.984890749329</v>
      </c>
      <c r="O25">
        <f t="shared" si="4"/>
        <v>83.769758020595958</v>
      </c>
      <c r="P25">
        <f t="shared" si="5"/>
        <v>9841.9407546275888</v>
      </c>
    </row>
    <row r="26" spans="1:16" x14ac:dyDescent="0.25">
      <c r="A26" t="s">
        <v>53</v>
      </c>
      <c r="B26" s="10">
        <f>B22*B6</f>
        <v>238000.00000000003</v>
      </c>
      <c r="C26" t="s">
        <v>50</v>
      </c>
      <c r="F26">
        <v>24</v>
      </c>
      <c r="G26">
        <v>985</v>
      </c>
      <c r="H26">
        <v>1328</v>
      </c>
      <c r="I26">
        <f t="shared" si="0"/>
        <v>3.1990962650310609E-2</v>
      </c>
      <c r="J26">
        <f t="shared" si="1"/>
        <v>4.3934779872026732</v>
      </c>
      <c r="L26">
        <f t="shared" si="2"/>
        <v>442.24306767789386</v>
      </c>
      <c r="M26">
        <f t="shared" si="3"/>
        <v>60735.439695089757</v>
      </c>
      <c r="O26">
        <f t="shared" si="4"/>
        <v>31.51109821055595</v>
      </c>
      <c r="P26">
        <f t="shared" si="5"/>
        <v>5834.5387670051505</v>
      </c>
    </row>
    <row r="27" spans="1:16" x14ac:dyDescent="0.25">
      <c r="A27" t="s">
        <v>54</v>
      </c>
      <c r="B27" s="10">
        <f>B23*B6</f>
        <v>309400</v>
      </c>
      <c r="C27" t="s">
        <v>50</v>
      </c>
      <c r="F27">
        <v>25</v>
      </c>
      <c r="G27">
        <v>991</v>
      </c>
      <c r="H27">
        <v>1344</v>
      </c>
      <c r="I27">
        <f t="shared" si="0"/>
        <v>1.1441662209251618E-2</v>
      </c>
      <c r="J27">
        <f t="shared" si="1"/>
        <v>2.5083437914330422</v>
      </c>
      <c r="L27">
        <f t="shared" si="2"/>
        <v>178.77597201955652</v>
      </c>
      <c r="M27">
        <f t="shared" si="3"/>
        <v>39192.871741141287</v>
      </c>
      <c r="O27">
        <f t="shared" si="4"/>
        <v>11.338687249368354</v>
      </c>
      <c r="P27">
        <f t="shared" si="5"/>
        <v>3371.2140556860086</v>
      </c>
    </row>
    <row r="28" spans="1:16" x14ac:dyDescent="0.25">
      <c r="F28">
        <v>26</v>
      </c>
      <c r="G28">
        <v>0</v>
      </c>
      <c r="H28">
        <v>0</v>
      </c>
      <c r="I28">
        <f t="shared" si="0"/>
        <v>3.9111622810893403E-3</v>
      </c>
      <c r="J28">
        <f t="shared" si="1"/>
        <v>1.3951183396925118</v>
      </c>
      <c r="L28">
        <f t="shared" si="2"/>
        <v>68.742588252426245</v>
      </c>
      <c r="M28">
        <f t="shared" si="3"/>
        <v>24520.599938435585</v>
      </c>
      <c r="O28">
        <f t="shared" si="4"/>
        <v>0</v>
      </c>
      <c r="P28">
        <f t="shared" si="5"/>
        <v>0</v>
      </c>
    </row>
    <row r="29" spans="1:16" x14ac:dyDescent="0.25">
      <c r="A29" t="s">
        <v>55</v>
      </c>
      <c r="B29" s="2">
        <f>-PMT(B6,B5,B22)</f>
        <v>294945.67007346184</v>
      </c>
      <c r="C29" t="s">
        <v>50</v>
      </c>
    </row>
    <row r="30" spans="1:16" x14ac:dyDescent="0.25">
      <c r="A30" t="s">
        <v>56</v>
      </c>
      <c r="B30" s="2">
        <f>-PMT(B6,B5,B23)</f>
        <v>383429.37109550036</v>
      </c>
      <c r="C30" t="s">
        <v>50</v>
      </c>
    </row>
    <row r="34" spans="1:3" x14ac:dyDescent="0.25">
      <c r="A34" s="1" t="s">
        <v>29</v>
      </c>
      <c r="B34" s="1"/>
      <c r="C34" s="1"/>
    </row>
    <row r="35" spans="1:3" x14ac:dyDescent="0.25">
      <c r="A35" t="s">
        <v>30</v>
      </c>
      <c r="B35" s="7">
        <f>0.5*B19*B20^3*B11/1000</f>
        <v>580.79066192754431</v>
      </c>
      <c r="C35" t="s">
        <v>38</v>
      </c>
    </row>
    <row r="36" spans="1:3" x14ac:dyDescent="0.25">
      <c r="A36" t="s">
        <v>31</v>
      </c>
      <c r="B36" s="7">
        <f>0.5*B19*B21^3*B12/1000</f>
        <v>1690.3823450184871</v>
      </c>
      <c r="C36" t="s">
        <v>38</v>
      </c>
    </row>
    <row r="38" spans="1:3" x14ac:dyDescent="0.25">
      <c r="A38" t="s">
        <v>42</v>
      </c>
      <c r="B38">
        <f>B7*1000*B17*8760</f>
        <v>1568604.7736625515</v>
      </c>
      <c r="C38" t="s">
        <v>41</v>
      </c>
    </row>
    <row r="39" spans="1:3" x14ac:dyDescent="0.25">
      <c r="A39" t="s">
        <v>43</v>
      </c>
      <c r="B39">
        <f>B7*1000*B18*8760</f>
        <v>2933626.6666666665</v>
      </c>
      <c r="C39" t="s">
        <v>41</v>
      </c>
    </row>
    <row r="41" spans="1:3" x14ac:dyDescent="0.25">
      <c r="A41" t="s">
        <v>39</v>
      </c>
      <c r="B41">
        <f>SUM(O2:O28)</f>
        <v>1665631.7400449549</v>
      </c>
      <c r="C41" t="s">
        <v>41</v>
      </c>
    </row>
    <row r="42" spans="1:3" x14ac:dyDescent="0.25">
      <c r="A42" t="s">
        <v>40</v>
      </c>
      <c r="B42">
        <f>SUM(P2:P28)</f>
        <v>4126855.5076715443</v>
      </c>
      <c r="C42" t="s">
        <v>41</v>
      </c>
    </row>
    <row r="44" spans="1:3" x14ac:dyDescent="0.25">
      <c r="A44" t="s">
        <v>46</v>
      </c>
      <c r="B44" s="6">
        <f>(B29+B24)/B41</f>
        <v>0.19809040746579235</v>
      </c>
      <c r="C44" t="s">
        <v>57</v>
      </c>
    </row>
    <row r="45" spans="1:3" x14ac:dyDescent="0.25">
      <c r="A45" t="s">
        <v>47</v>
      </c>
      <c r="B45" s="6">
        <f>(B30+B25)/B42</f>
        <v>0.10393612528913353</v>
      </c>
      <c r="C45" t="s">
        <v>57</v>
      </c>
    </row>
  </sheetData>
  <mergeCells count="2">
    <mergeCell ref="A1:C1"/>
    <mergeCell ref="A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Zadatak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2021-06-22T16:39:03Z</dcterms:created>
  <dcterms:modified xsi:type="dcterms:W3CDTF">2021-06-22T21:42:51Z</dcterms:modified>
</cp:coreProperties>
</file>