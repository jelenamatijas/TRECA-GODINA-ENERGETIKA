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2995" windowHeight="1005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K18" i="1" l="1"/>
  <c r="J19" i="1"/>
  <c r="J20" i="1" s="1"/>
  <c r="J18" i="1"/>
  <c r="B15" i="1"/>
  <c r="G15" i="1" s="1"/>
  <c r="I18" i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C15" i="1"/>
  <c r="K11" i="1"/>
  <c r="M26" i="1" s="1"/>
  <c r="D11" i="1"/>
  <c r="E19" i="1" s="1"/>
  <c r="J21" i="1" l="1"/>
  <c r="O20" i="1"/>
  <c r="M30" i="1"/>
  <c r="M22" i="1"/>
  <c r="E15" i="1"/>
  <c r="H15" i="1" s="1"/>
  <c r="E26" i="1"/>
  <c r="E22" i="1"/>
  <c r="E18" i="1"/>
  <c r="D15" i="1"/>
  <c r="L18" i="1"/>
  <c r="M29" i="1"/>
  <c r="M25" i="1"/>
  <c r="M21" i="1"/>
  <c r="O18" i="1"/>
  <c r="E23" i="1"/>
  <c r="E29" i="1"/>
  <c r="E25" i="1"/>
  <c r="E21" i="1"/>
  <c r="E17" i="1"/>
  <c r="M32" i="1"/>
  <c r="M28" i="1"/>
  <c r="M24" i="1"/>
  <c r="M20" i="1"/>
  <c r="O19" i="1"/>
  <c r="E28" i="1"/>
  <c r="E24" i="1"/>
  <c r="E20" i="1"/>
  <c r="E16" i="1"/>
  <c r="M31" i="1"/>
  <c r="M27" i="1"/>
  <c r="M23" i="1"/>
  <c r="M19" i="1"/>
  <c r="E27" i="1"/>
  <c r="M18" i="1"/>
  <c r="M44" i="1" s="1"/>
  <c r="B16" i="1"/>
  <c r="P19" i="1" l="1"/>
  <c r="J22" i="1"/>
  <c r="O21" i="1"/>
  <c r="P21" i="1" s="1"/>
  <c r="P18" i="1"/>
  <c r="N18" i="1"/>
  <c r="F15" i="1"/>
  <c r="E44" i="1"/>
  <c r="P20" i="1"/>
  <c r="B17" i="1"/>
  <c r="G16" i="1"/>
  <c r="C16" i="1" l="1"/>
  <c r="K19" i="1"/>
  <c r="J23" i="1"/>
  <c r="O22" i="1"/>
  <c r="H16" i="1"/>
  <c r="B18" i="1"/>
  <c r="G17" i="1"/>
  <c r="H17" i="1" s="1"/>
  <c r="P22" i="1" l="1"/>
  <c r="D16" i="1"/>
  <c r="J24" i="1"/>
  <c r="O23" i="1"/>
  <c r="P23" i="1" s="1"/>
  <c r="L19" i="1"/>
  <c r="B19" i="1"/>
  <c r="G18" i="1"/>
  <c r="H18" i="1" s="1"/>
  <c r="F16" i="1" l="1"/>
  <c r="N19" i="1"/>
  <c r="J25" i="1"/>
  <c r="O24" i="1"/>
  <c r="P24" i="1" s="1"/>
  <c r="B20" i="1"/>
  <c r="G19" i="1"/>
  <c r="H19" i="1" s="1"/>
  <c r="J26" i="1" l="1"/>
  <c r="O25" i="1"/>
  <c r="P25" i="1" s="1"/>
  <c r="C17" i="1"/>
  <c r="K20" i="1"/>
  <c r="B21" i="1"/>
  <c r="G20" i="1"/>
  <c r="H20" i="1" s="1"/>
  <c r="D17" i="1" l="1"/>
  <c r="J27" i="1"/>
  <c r="O26" i="1"/>
  <c r="L20" i="1"/>
  <c r="B22" i="1"/>
  <c r="G21" i="1"/>
  <c r="H21" i="1" s="1"/>
  <c r="J28" i="1" l="1"/>
  <c r="O27" i="1"/>
  <c r="P27" i="1" s="1"/>
  <c r="N20" i="1"/>
  <c r="P26" i="1"/>
  <c r="F17" i="1"/>
  <c r="B23" i="1"/>
  <c r="G22" i="1"/>
  <c r="H22" i="1" s="1"/>
  <c r="J29" i="1" l="1"/>
  <c r="O28" i="1"/>
  <c r="P28" i="1" s="1"/>
  <c r="C18" i="1"/>
  <c r="K21" i="1"/>
  <c r="B24" i="1"/>
  <c r="G23" i="1"/>
  <c r="H23" i="1" s="1"/>
  <c r="J30" i="1" l="1"/>
  <c r="O29" i="1"/>
  <c r="P29" i="1" s="1"/>
  <c r="D18" i="1"/>
  <c r="L21" i="1"/>
  <c r="B25" i="1"/>
  <c r="G24" i="1"/>
  <c r="H24" i="1" s="1"/>
  <c r="F18" i="1" l="1"/>
  <c r="N21" i="1"/>
  <c r="J31" i="1"/>
  <c r="O30" i="1"/>
  <c r="P30" i="1" s="1"/>
  <c r="B26" i="1"/>
  <c r="G25" i="1"/>
  <c r="H25" i="1" s="1"/>
  <c r="K22" i="1" l="1"/>
  <c r="J32" i="1"/>
  <c r="O31" i="1"/>
  <c r="P31" i="1" s="1"/>
  <c r="C19" i="1"/>
  <c r="D19" i="1" s="1"/>
  <c r="F19" i="1" s="1"/>
  <c r="C20" i="1" s="1"/>
  <c r="D20" i="1" s="1"/>
  <c r="F20" i="1" s="1"/>
  <c r="C21" i="1" s="1"/>
  <c r="D21" i="1" s="1"/>
  <c r="F21" i="1" s="1"/>
  <c r="C22" i="1" s="1"/>
  <c r="D22" i="1" s="1"/>
  <c r="F22" i="1" s="1"/>
  <c r="C23" i="1" s="1"/>
  <c r="D23" i="1" s="1"/>
  <c r="F23" i="1" s="1"/>
  <c r="C24" i="1" s="1"/>
  <c r="D24" i="1" s="1"/>
  <c r="F24" i="1" s="1"/>
  <c r="C25" i="1" s="1"/>
  <c r="D25" i="1" s="1"/>
  <c r="F25" i="1" s="1"/>
  <c r="C26" i="1" s="1"/>
  <c r="D26" i="1" s="1"/>
  <c r="F26" i="1" s="1"/>
  <c r="C27" i="1" s="1"/>
  <c r="D27" i="1" s="1"/>
  <c r="F27" i="1" s="1"/>
  <c r="C28" i="1" s="1"/>
  <c r="D28" i="1" s="1"/>
  <c r="F28" i="1" s="1"/>
  <c r="B27" i="1"/>
  <c r="G26" i="1"/>
  <c r="H26" i="1" s="1"/>
  <c r="C29" i="1" l="1"/>
  <c r="L22" i="1"/>
  <c r="J33" i="1"/>
  <c r="O32" i="1"/>
  <c r="P32" i="1" s="1"/>
  <c r="B28" i="1"/>
  <c r="G27" i="1"/>
  <c r="H27" i="1" s="1"/>
  <c r="D29" i="1"/>
  <c r="F29" i="1" s="1"/>
  <c r="C30" i="1" s="1"/>
  <c r="N22" i="1" l="1"/>
  <c r="J34" i="1"/>
  <c r="O33" i="1"/>
  <c r="P33" i="1" s="1"/>
  <c r="B29" i="1"/>
  <c r="G28" i="1"/>
  <c r="H28" i="1" s="1"/>
  <c r="D30" i="1"/>
  <c r="F30" i="1" s="1"/>
  <c r="C31" i="1" s="1"/>
  <c r="K23" i="1" l="1"/>
  <c r="J35" i="1"/>
  <c r="O34" i="1"/>
  <c r="P34" i="1" s="1"/>
  <c r="B30" i="1"/>
  <c r="G29" i="1"/>
  <c r="H29" i="1" s="1"/>
  <c r="D31" i="1"/>
  <c r="F31" i="1" s="1"/>
  <c r="C32" i="1" s="1"/>
  <c r="J36" i="1" l="1"/>
  <c r="O35" i="1"/>
  <c r="P35" i="1" s="1"/>
  <c r="L23" i="1"/>
  <c r="N23" i="1" s="1"/>
  <c r="K24" i="1" s="1"/>
  <c r="B31" i="1"/>
  <c r="G30" i="1"/>
  <c r="H30" i="1" s="1"/>
  <c r="D32" i="1"/>
  <c r="F32" i="1" s="1"/>
  <c r="C33" i="1" s="1"/>
  <c r="L24" i="1" l="1"/>
  <c r="N24" i="1" s="1"/>
  <c r="K25" i="1" s="1"/>
  <c r="J37" i="1"/>
  <c r="O36" i="1"/>
  <c r="P36" i="1" s="1"/>
  <c r="B32" i="1"/>
  <c r="G31" i="1"/>
  <c r="H31" i="1" s="1"/>
  <c r="D33" i="1"/>
  <c r="F33" i="1" s="1"/>
  <c r="C34" i="1" s="1"/>
  <c r="L25" i="1" l="1"/>
  <c r="N25" i="1" s="1"/>
  <c r="K26" i="1"/>
  <c r="J38" i="1"/>
  <c r="O37" i="1"/>
  <c r="P37" i="1" s="1"/>
  <c r="B33" i="1"/>
  <c r="G32" i="1"/>
  <c r="H32" i="1" s="1"/>
  <c r="D34" i="1"/>
  <c r="F34" i="1" s="1"/>
  <c r="C35" i="1" s="1"/>
  <c r="J39" i="1" l="1"/>
  <c r="O38" i="1"/>
  <c r="P38" i="1" s="1"/>
  <c r="L26" i="1"/>
  <c r="N26" i="1" s="1"/>
  <c r="K27" i="1" s="1"/>
  <c r="B34" i="1"/>
  <c r="G33" i="1"/>
  <c r="H33" i="1" s="1"/>
  <c r="D35" i="1"/>
  <c r="F35" i="1" s="1"/>
  <c r="C36" i="1" s="1"/>
  <c r="L27" i="1" l="1"/>
  <c r="N27" i="1" s="1"/>
  <c r="K28" i="1" s="1"/>
  <c r="J40" i="1"/>
  <c r="O39" i="1"/>
  <c r="P39" i="1" s="1"/>
  <c r="B35" i="1"/>
  <c r="G34" i="1"/>
  <c r="H34" i="1" s="1"/>
  <c r="D36" i="1"/>
  <c r="F36" i="1" s="1"/>
  <c r="C37" i="1" s="1"/>
  <c r="L28" i="1" l="1"/>
  <c r="N28" i="1" s="1"/>
  <c r="K29" i="1" s="1"/>
  <c r="J41" i="1"/>
  <c r="O40" i="1"/>
  <c r="P40" i="1" s="1"/>
  <c r="B36" i="1"/>
  <c r="G35" i="1"/>
  <c r="H35" i="1" s="1"/>
  <c r="D37" i="1"/>
  <c r="F37" i="1" s="1"/>
  <c r="C38" i="1" s="1"/>
  <c r="L29" i="1" l="1"/>
  <c r="N29" i="1" s="1"/>
  <c r="K30" i="1" s="1"/>
  <c r="J42" i="1"/>
  <c r="O41" i="1"/>
  <c r="P41" i="1" s="1"/>
  <c r="B37" i="1"/>
  <c r="G36" i="1"/>
  <c r="H36" i="1" s="1"/>
  <c r="D38" i="1"/>
  <c r="F38" i="1" s="1"/>
  <c r="C39" i="1" s="1"/>
  <c r="L30" i="1" l="1"/>
  <c r="N30" i="1" s="1"/>
  <c r="K31" i="1" s="1"/>
  <c r="D39" i="1"/>
  <c r="C44" i="1"/>
  <c r="O42" i="1"/>
  <c r="J44" i="1"/>
  <c r="B38" i="1"/>
  <c r="G37" i="1"/>
  <c r="H37" i="1" s="1"/>
  <c r="L31" i="1" l="1"/>
  <c r="N31" i="1" s="1"/>
  <c r="K32" i="1" s="1"/>
  <c r="F39" i="1"/>
  <c r="F44" i="1" s="1"/>
  <c r="D44" i="1"/>
  <c r="P42" i="1"/>
  <c r="P44" i="1" s="1"/>
  <c r="O44" i="1"/>
  <c r="B39" i="1"/>
  <c r="G38" i="1"/>
  <c r="H38" i="1" s="1"/>
  <c r="L32" i="1" l="1"/>
  <c r="N32" i="1" s="1"/>
  <c r="K33" i="1" s="1"/>
  <c r="L33" i="1" s="1"/>
  <c r="N33" i="1" s="1"/>
  <c r="K34" i="1" s="1"/>
  <c r="G39" i="1"/>
  <c r="B44" i="1"/>
  <c r="L34" i="1" l="1"/>
  <c r="N34" i="1" s="1"/>
  <c r="K35" i="1" s="1"/>
  <c r="H39" i="1"/>
  <c r="H44" i="1" s="1"/>
  <c r="G44" i="1"/>
  <c r="L35" i="1" l="1"/>
  <c r="N35" i="1" s="1"/>
  <c r="K36" i="1"/>
  <c r="L36" i="1" l="1"/>
  <c r="N36" i="1" s="1"/>
  <c r="K37" i="1" s="1"/>
  <c r="K38" i="1" l="1"/>
  <c r="L37" i="1"/>
  <c r="N37" i="1" s="1"/>
  <c r="L38" i="1" l="1"/>
  <c r="N38" i="1" s="1"/>
  <c r="K39" i="1"/>
  <c r="L39" i="1" l="1"/>
  <c r="N39" i="1" s="1"/>
  <c r="K40" i="1" s="1"/>
  <c r="L40" i="1" l="1"/>
  <c r="N40" i="1" s="1"/>
  <c r="K41" i="1"/>
  <c r="L41" i="1" s="1"/>
  <c r="N41" i="1" s="1"/>
  <c r="K42" i="1" s="1"/>
  <c r="L42" i="1" l="1"/>
  <c r="K44" i="1"/>
  <c r="N42" i="1" l="1"/>
  <c r="N44" i="1" s="1"/>
  <c r="L44" i="1"/>
</calcChain>
</file>

<file path=xl/sharedStrings.xml><?xml version="1.0" encoding="utf-8"?>
<sst xmlns="http://schemas.openxmlformats.org/spreadsheetml/2006/main" count="58" uniqueCount="30">
  <si>
    <t>Snaga PV sistema</t>
  </si>
  <si>
    <t>kW</t>
  </si>
  <si>
    <t>Investivcija</t>
  </si>
  <si>
    <t>KM</t>
  </si>
  <si>
    <t>Rok otplate kredita</t>
  </si>
  <si>
    <t>god</t>
  </si>
  <si>
    <t>Kamatna stopa</t>
  </si>
  <si>
    <t>Otkupna cijena</t>
  </si>
  <si>
    <t>KM/kWh</t>
  </si>
  <si>
    <t>Godišnji pad proizvodnje</t>
  </si>
  <si>
    <t>Tržišna cijena kWh</t>
  </si>
  <si>
    <t xml:space="preserve">Porast tržišne cijene </t>
  </si>
  <si>
    <t>Godišnje vrijeme proizvodnje</t>
  </si>
  <si>
    <t>h</t>
  </si>
  <si>
    <t>Rata kredita</t>
  </si>
  <si>
    <t>Prije tri godine</t>
  </si>
  <si>
    <t>Danas</t>
  </si>
  <si>
    <t>Godina</t>
  </si>
  <si>
    <t>Rata [KM]</t>
  </si>
  <si>
    <t>Otplata [KM]</t>
  </si>
  <si>
    <t>Godisnja proizvodnja el. Energije [kWh/god]</t>
  </si>
  <si>
    <t>Kamata [KM]</t>
  </si>
  <si>
    <t>Dug [KM]</t>
  </si>
  <si>
    <t>Prihod od prodaje el. Energije [KM]</t>
  </si>
  <si>
    <t>Cijena el. Energije [KM]</t>
  </si>
  <si>
    <t>Zarada [KM]</t>
  </si>
  <si>
    <t>%</t>
  </si>
  <si>
    <t>PV sistem izgrađen prije tri godine</t>
  </si>
  <si>
    <t>PV sistem izgrađen danas</t>
  </si>
  <si>
    <t>Ukupno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</si>
</sst>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/>
    <xf numFmtId="2" fontId="0" fillId="2" borderId="1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Sheet1!$A$15:$A$39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Sheet1!$H$15:$H$39</c:f>
              <c:numCache>
                <c:formatCode>0.00</c:formatCode>
                <c:ptCount val="25"/>
                <c:pt idx="0">
                  <c:v>989.8496412205659</c:v>
                </c:pt>
                <c:pt idx="1">
                  <c:v>904.11140122056531</c:v>
                </c:pt>
                <c:pt idx="2">
                  <c:v>818.97332890056714</c:v>
                </c:pt>
                <c:pt idx="3">
                  <c:v>734.43122308680722</c:v>
                </c:pt>
                <c:pt idx="4">
                  <c:v>650.48091201374336</c:v>
                </c:pt>
                <c:pt idx="5">
                  <c:v>567.11825311819121</c:v>
                </c:pt>
                <c:pt idx="6">
                  <c:v>484.33913283490801</c:v>
                </c:pt>
                <c:pt idx="7">
                  <c:v>402.13946639360802</c:v>
                </c:pt>
                <c:pt idx="8">
                  <c:v>320.51519761739655</c:v>
                </c:pt>
                <c:pt idx="9">
                  <c:v>239.46229872261938</c:v>
                </c:pt>
                <c:pt idx="10">
                  <c:v>158.97677012010536</c:v>
                </c:pt>
                <c:pt idx="11">
                  <c:v>79.054640217807901</c:v>
                </c:pt>
                <c:pt idx="12">
                  <c:v>-0.30803477517474676</c:v>
                </c:pt>
                <c:pt idx="13">
                  <c:v>-79.1151710432041</c:v>
                </c:pt>
                <c:pt idx="14">
                  <c:v>-157.37065735735814</c:v>
                </c:pt>
                <c:pt idx="15">
                  <c:v>4581.7017209962551</c:v>
                </c:pt>
                <c:pt idx="16">
                  <c:v>4640.622405128267</c:v>
                </c:pt>
                <c:pt idx="17">
                  <c:v>4700.3008092582168</c:v>
                </c:pt>
                <c:pt idx="18">
                  <c:v>4760.7466776652773</c:v>
                </c:pt>
                <c:pt idx="19">
                  <c:v>4821.969879940053</c:v>
                </c:pt>
                <c:pt idx="20">
                  <c:v>4883.9804125960827</c:v>
                </c:pt>
                <c:pt idx="21">
                  <c:v>4946.7884007020684</c:v>
                </c:pt>
                <c:pt idx="22">
                  <c:v>5010.4040995350961</c:v>
                </c:pt>
                <c:pt idx="23">
                  <c:v>5074.8378962551178</c:v>
                </c:pt>
                <c:pt idx="24">
                  <c:v>5140.1003116009588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Sheet1!$A$18:$A$42</c:f>
              <c:numCache>
                <c:formatCode>General</c:formatCode>
                <c:ptCount val="25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26</c:v>
                </c:pt>
                <c:pt idx="23">
                  <c:v>27</c:v>
                </c:pt>
                <c:pt idx="24">
                  <c:v>28</c:v>
                </c:pt>
              </c:numCache>
            </c:numRef>
          </c:xVal>
          <c:yVal>
            <c:numRef>
              <c:f>Sheet1!$P$18:$P$42</c:f>
              <c:numCache>
                <c:formatCode>0.00</c:formatCode>
                <c:ptCount val="25"/>
                <c:pt idx="0">
                  <c:v>1685.9601387267066</c:v>
                </c:pt>
                <c:pt idx="1">
                  <c:v>1617.2503787267069</c:v>
                </c:pt>
                <c:pt idx="2">
                  <c:v>1549.0215870467073</c:v>
                </c:pt>
                <c:pt idx="3">
                  <c:v>1481.2703969084669</c:v>
                </c:pt>
                <c:pt idx="4">
                  <c:v>1413.9934651011954</c:v>
                </c:pt>
                <c:pt idx="5">
                  <c:v>1347.1874718165745</c:v>
                </c:pt>
                <c:pt idx="6">
                  <c:v>1280.8491204849452</c:v>
                </c:pt>
                <c:pt idx="7">
                  <c:v>1214.9751376126387</c:v>
                </c:pt>
                <c:pt idx="8">
                  <c:v>1149.5622726204365</c:v>
                </c:pt>
                <c:pt idx="9">
                  <c:v>1084.6072976831801</c:v>
                </c:pt>
                <c:pt idx="10">
                  <c:v>1020.1070075704847</c:v>
                </c:pt>
                <c:pt idx="11">
                  <c:v>956.05821948857738</c:v>
                </c:pt>
                <c:pt idx="12">
                  <c:v>892.45777292324419</c:v>
                </c:pt>
                <c:pt idx="13">
                  <c:v>829.30252948386806</c:v>
                </c:pt>
                <c:pt idx="14">
                  <c:v>766.58937274856726</c:v>
                </c:pt>
                <c:pt idx="15">
                  <c:v>4862.1385199349943</c:v>
                </c:pt>
                <c:pt idx="16">
                  <c:v>4924.6656213013584</c:v>
                </c:pt>
                <c:pt idx="17">
                  <c:v>4987.9968211912937</c:v>
                </c:pt>
                <c:pt idx="18">
                  <c:v>5052.1424603118139</c:v>
                </c:pt>
                <c:pt idx="19">
                  <c:v>5117.113012351424</c:v>
                </c:pt>
                <c:pt idx="20">
                  <c:v>5182.9190856902633</c:v>
                </c:pt>
                <c:pt idx="21">
                  <c:v>5249.5714251322397</c:v>
                </c:pt>
                <c:pt idx="22">
                  <c:v>5317.0809136594398</c:v>
                </c:pt>
                <c:pt idx="23">
                  <c:v>5385.4585742091003</c:v>
                </c:pt>
                <c:pt idx="24">
                  <c:v>5454.7155714734299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4640"/>
        <c:axId val="19743104"/>
      </c:scatterChart>
      <c:valAx>
        <c:axId val="1974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743104"/>
        <c:crosses val="autoZero"/>
        <c:crossBetween val="midCat"/>
      </c:valAx>
      <c:valAx>
        <c:axId val="197431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97446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15</xdr:row>
      <xdr:rowOff>95250</xdr:rowOff>
    </xdr:from>
    <xdr:to>
      <xdr:col>24</xdr:col>
      <xdr:colOff>314325</xdr:colOff>
      <xdr:row>29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tabSelected="1" topLeftCell="G15" workbookViewId="0">
      <selection activeCell="G15" activeCellId="1" sqref="A15:A39 G15:G39"/>
    </sheetView>
  </sheetViews>
  <sheetFormatPr defaultRowHeight="15" x14ac:dyDescent="0.25"/>
  <cols>
    <col min="2" max="2" width="15.28515625" customWidth="1"/>
    <col min="3" max="3" width="13.85546875" customWidth="1"/>
    <col min="4" max="4" width="12.42578125" bestFit="1" customWidth="1"/>
    <col min="5" max="5" width="12.28515625" bestFit="1" customWidth="1"/>
    <col min="6" max="6" width="12.28515625" customWidth="1"/>
    <col min="7" max="7" width="9.5703125" bestFit="1" customWidth="1"/>
    <col min="8" max="8" width="11.5703125" bestFit="1" customWidth="1"/>
    <col min="9" max="9" width="9.5703125" bestFit="1" customWidth="1"/>
    <col min="10" max="10" width="10.5703125" bestFit="1" customWidth="1"/>
    <col min="11" max="11" width="11.42578125" bestFit="1" customWidth="1"/>
    <col min="12" max="12" width="14" customWidth="1"/>
    <col min="13" max="14" width="11.42578125" bestFit="1" customWidth="1"/>
    <col min="15" max="15" width="9.5703125" bestFit="1" customWidth="1"/>
  </cols>
  <sheetData>
    <row r="1" spans="1:16" x14ac:dyDescent="0.25">
      <c r="A1" s="13" t="s">
        <v>15</v>
      </c>
      <c r="B1" s="13"/>
      <c r="C1" s="13"/>
      <c r="D1" s="13"/>
      <c r="E1" s="13"/>
      <c r="H1" s="13" t="s">
        <v>16</v>
      </c>
      <c r="I1" s="13"/>
      <c r="J1" s="13"/>
      <c r="K1" s="13"/>
      <c r="L1" s="13"/>
    </row>
    <row r="2" spans="1:16" x14ac:dyDescent="0.25">
      <c r="A2" s="12" t="s">
        <v>0</v>
      </c>
      <c r="B2" s="12"/>
      <c r="C2" s="12"/>
      <c r="D2" s="1">
        <v>40</v>
      </c>
      <c r="E2" s="1" t="s">
        <v>1</v>
      </c>
      <c r="H2" s="12" t="s">
        <v>0</v>
      </c>
      <c r="I2" s="12"/>
      <c r="J2" s="12"/>
      <c r="K2" s="1">
        <v>40</v>
      </c>
      <c r="L2" s="1" t="s">
        <v>1</v>
      </c>
    </row>
    <row r="3" spans="1:16" x14ac:dyDescent="0.25">
      <c r="A3" s="12" t="s">
        <v>2</v>
      </c>
      <c r="B3" s="12"/>
      <c r="C3" s="12"/>
      <c r="D3" s="1">
        <v>100000</v>
      </c>
      <c r="E3" s="1" t="s">
        <v>3</v>
      </c>
      <c r="H3" s="12" t="s">
        <v>2</v>
      </c>
      <c r="I3" s="12"/>
      <c r="J3" s="12"/>
      <c r="K3" s="1">
        <v>80000</v>
      </c>
      <c r="L3" s="1" t="s">
        <v>3</v>
      </c>
    </row>
    <row r="4" spans="1:16" x14ac:dyDescent="0.25">
      <c r="A4" s="12" t="s">
        <v>4</v>
      </c>
      <c r="B4" s="12"/>
      <c r="C4" s="12"/>
      <c r="D4" s="1">
        <v>15</v>
      </c>
      <c r="E4" s="1" t="s">
        <v>5</v>
      </c>
      <c r="H4" s="12" t="s">
        <v>4</v>
      </c>
      <c r="I4" s="12"/>
      <c r="J4" s="12"/>
      <c r="K4" s="1">
        <v>15</v>
      </c>
      <c r="L4" s="1" t="s">
        <v>5</v>
      </c>
    </row>
    <row r="5" spans="1:16" x14ac:dyDescent="0.25">
      <c r="A5" s="12" t="s">
        <v>6</v>
      </c>
      <c r="B5" s="12"/>
      <c r="C5" s="12"/>
      <c r="D5" s="2">
        <v>7.3999999999999996E-2</v>
      </c>
      <c r="E5" s="1"/>
      <c r="H5" s="12" t="s">
        <v>6</v>
      </c>
      <c r="I5" s="12"/>
      <c r="J5" s="12"/>
      <c r="K5" s="2">
        <v>5.8000000000000003E-2</v>
      </c>
      <c r="L5" s="1"/>
    </row>
    <row r="6" spans="1:16" x14ac:dyDescent="0.25">
      <c r="A6" s="12" t="s">
        <v>7</v>
      </c>
      <c r="B6" s="12"/>
      <c r="C6" s="12"/>
      <c r="D6" s="1">
        <v>0.27339999999999998</v>
      </c>
      <c r="E6" s="1" t="s">
        <v>8</v>
      </c>
      <c r="H6" s="12" t="s">
        <v>7</v>
      </c>
      <c r="I6" s="12"/>
      <c r="J6" s="12"/>
      <c r="K6" s="1">
        <v>0.21909999999999999</v>
      </c>
      <c r="L6" s="1" t="s">
        <v>8</v>
      </c>
    </row>
    <row r="7" spans="1:16" x14ac:dyDescent="0.25">
      <c r="A7" s="12" t="s">
        <v>9</v>
      </c>
      <c r="B7" s="12"/>
      <c r="C7" s="12"/>
      <c r="D7" s="2">
        <v>7.0000000000000001E-3</v>
      </c>
      <c r="E7" s="1"/>
      <c r="H7" s="12" t="s">
        <v>9</v>
      </c>
      <c r="I7" s="12"/>
      <c r="J7" s="12"/>
      <c r="K7" s="2">
        <v>7.0000000000000001E-3</v>
      </c>
      <c r="L7" s="1"/>
    </row>
    <row r="8" spans="1:16" x14ac:dyDescent="0.25">
      <c r="A8" s="12" t="s">
        <v>10</v>
      </c>
      <c r="B8" s="12"/>
      <c r="C8" s="12"/>
      <c r="D8" s="1">
        <v>8.9599999999999999E-2</v>
      </c>
      <c r="E8" s="1" t="s">
        <v>8</v>
      </c>
      <c r="H8" s="12" t="s">
        <v>10</v>
      </c>
      <c r="I8" s="12"/>
      <c r="J8" s="12"/>
      <c r="K8" s="1">
        <v>8.9599999999999999E-2</v>
      </c>
      <c r="L8" s="1" t="s">
        <v>8</v>
      </c>
    </row>
    <row r="9" spans="1:16" x14ac:dyDescent="0.25">
      <c r="A9" s="12" t="s">
        <v>11</v>
      </c>
      <c r="B9" s="12"/>
      <c r="C9" s="12"/>
      <c r="D9" s="2">
        <v>0.02</v>
      </c>
      <c r="E9" s="1"/>
      <c r="H9" s="12" t="s">
        <v>11</v>
      </c>
      <c r="I9" s="12"/>
      <c r="J9" s="12"/>
      <c r="K9" s="2">
        <v>0.02</v>
      </c>
      <c r="L9" s="1"/>
    </row>
    <row r="10" spans="1:16" x14ac:dyDescent="0.25">
      <c r="A10" s="12" t="s">
        <v>12</v>
      </c>
      <c r="B10" s="12"/>
      <c r="C10" s="12"/>
      <c r="D10" s="1">
        <v>1120</v>
      </c>
      <c r="E10" s="1" t="s">
        <v>13</v>
      </c>
      <c r="H10" s="12" t="s">
        <v>12</v>
      </c>
      <c r="I10" s="12"/>
      <c r="J10" s="12"/>
      <c r="K10" s="1">
        <v>1120</v>
      </c>
      <c r="L10" s="1" t="s">
        <v>13</v>
      </c>
    </row>
    <row r="11" spans="1:16" x14ac:dyDescent="0.25">
      <c r="A11" s="12" t="s">
        <v>14</v>
      </c>
      <c r="B11" s="12"/>
      <c r="C11" s="12"/>
      <c r="D11" s="3">
        <f>-PMT(D5,D4,D3)</f>
        <v>11258.470358779434</v>
      </c>
      <c r="E11" s="1" t="s">
        <v>3</v>
      </c>
      <c r="H11" s="12" t="s">
        <v>14</v>
      </c>
      <c r="I11" s="12"/>
      <c r="J11" s="12"/>
      <c r="K11" s="3">
        <f>-PMT(K5,K4,K3)</f>
        <v>8129.7198612732936</v>
      </c>
      <c r="L11" s="1" t="s">
        <v>3</v>
      </c>
    </row>
    <row r="12" spans="1:16" x14ac:dyDescent="0.25">
      <c r="A12" s="14"/>
      <c r="B12" s="14"/>
      <c r="C12" s="14"/>
    </row>
    <row r="13" spans="1:16" x14ac:dyDescent="0.25">
      <c r="A13" s="13" t="s">
        <v>27</v>
      </c>
      <c r="B13" s="13"/>
      <c r="C13" s="13"/>
      <c r="D13" s="13"/>
      <c r="E13" s="13"/>
      <c r="F13" s="13"/>
      <c r="G13" s="13"/>
      <c r="H13" s="13"/>
      <c r="I13" s="1"/>
      <c r="J13" s="9" t="s">
        <v>28</v>
      </c>
      <c r="K13" s="10"/>
      <c r="L13" s="10"/>
      <c r="M13" s="10"/>
      <c r="N13" s="10"/>
      <c r="O13" s="10"/>
      <c r="P13" s="11"/>
    </row>
    <row r="14" spans="1:16" ht="75" x14ac:dyDescent="0.25">
      <c r="A14" s="1" t="s">
        <v>17</v>
      </c>
      <c r="B14" s="4" t="s">
        <v>20</v>
      </c>
      <c r="C14" s="1" t="s">
        <v>22</v>
      </c>
      <c r="D14" s="1" t="s">
        <v>21</v>
      </c>
      <c r="E14" s="1" t="s">
        <v>18</v>
      </c>
      <c r="F14" s="1" t="s">
        <v>19</v>
      </c>
      <c r="G14" s="4" t="s">
        <v>23</v>
      </c>
      <c r="H14" s="4" t="s">
        <v>25</v>
      </c>
      <c r="I14" s="4" t="s">
        <v>24</v>
      </c>
      <c r="J14" s="4" t="s">
        <v>20</v>
      </c>
      <c r="K14" s="1" t="s">
        <v>22</v>
      </c>
      <c r="L14" s="1" t="s">
        <v>21</v>
      </c>
      <c r="M14" s="1" t="s">
        <v>18</v>
      </c>
      <c r="N14" s="1" t="s">
        <v>19</v>
      </c>
      <c r="O14" s="4" t="s">
        <v>23</v>
      </c>
      <c r="P14" s="4" t="s">
        <v>25</v>
      </c>
    </row>
    <row r="15" spans="1:16" x14ac:dyDescent="0.25">
      <c r="A15" s="1">
        <v>1</v>
      </c>
      <c r="B15" s="3">
        <f>$D$10*D2</f>
        <v>44800</v>
      </c>
      <c r="C15" s="3">
        <f>$D$3</f>
        <v>100000</v>
      </c>
      <c r="D15" s="3">
        <f>C15*$D$5</f>
        <v>7400</v>
      </c>
      <c r="E15" s="3">
        <f>$D$11</f>
        <v>11258.470358779434</v>
      </c>
      <c r="F15" s="3">
        <f>E15-D15</f>
        <v>3858.4703587794338</v>
      </c>
      <c r="G15" s="3">
        <f>B15*$D$6</f>
        <v>12248.32</v>
      </c>
      <c r="H15" s="3">
        <f>G15-E15</f>
        <v>989.8496412205659</v>
      </c>
      <c r="I15" s="5" t="s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5">
      <c r="A16" s="1">
        <v>2</v>
      </c>
      <c r="B16" s="3">
        <f>B15-$D$7*B15</f>
        <v>44486.400000000001</v>
      </c>
      <c r="C16" s="3">
        <f>C15-F15</f>
        <v>96141.529641220564</v>
      </c>
      <c r="D16" s="3">
        <f t="shared" ref="D16:D39" si="0">C16*$D$5</f>
        <v>7114.4731934503216</v>
      </c>
      <c r="E16" s="3">
        <f t="shared" ref="E16:E29" si="1">$D$11</f>
        <v>11258.470358779434</v>
      </c>
      <c r="F16" s="3">
        <f t="shared" ref="F16:F39" si="2">E16-D16</f>
        <v>4143.9971653291122</v>
      </c>
      <c r="G16" s="3">
        <f t="shared" ref="G16:G29" si="3">B16*$D$6</f>
        <v>12162.581759999999</v>
      </c>
      <c r="H16" s="3">
        <f t="shared" ref="H16:H39" si="4">G16-E16</f>
        <v>904.11140122056531</v>
      </c>
      <c r="I16" s="5" t="s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</row>
    <row r="17" spans="1:16" x14ac:dyDescent="0.25">
      <c r="A17" s="1">
        <v>3</v>
      </c>
      <c r="B17" s="3">
        <f t="shared" ref="B17:B39" si="5">B16-$D$7*B16</f>
        <v>44174.995200000005</v>
      </c>
      <c r="C17" s="3">
        <f t="shared" ref="C17:C39" si="6">C16-F16</f>
        <v>91997.53247589145</v>
      </c>
      <c r="D17" s="3">
        <f t="shared" si="0"/>
        <v>6807.8174032159668</v>
      </c>
      <c r="E17" s="3">
        <f t="shared" si="1"/>
        <v>11258.470358779434</v>
      </c>
      <c r="F17" s="3">
        <f t="shared" si="2"/>
        <v>4450.652955563467</v>
      </c>
      <c r="G17" s="3">
        <f t="shared" si="3"/>
        <v>12077.443687680001</v>
      </c>
      <c r="H17" s="3">
        <f t="shared" si="4"/>
        <v>818.97332890056714</v>
      </c>
      <c r="I17" s="5" t="s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</row>
    <row r="18" spans="1:16" x14ac:dyDescent="0.25">
      <c r="A18" s="1">
        <v>4</v>
      </c>
      <c r="B18" s="3">
        <f t="shared" si="5"/>
        <v>43865.770233600007</v>
      </c>
      <c r="C18" s="3">
        <f t="shared" si="6"/>
        <v>87546.879520327988</v>
      </c>
      <c r="D18" s="3">
        <f t="shared" si="0"/>
        <v>6478.4690845042705</v>
      </c>
      <c r="E18" s="3">
        <f t="shared" si="1"/>
        <v>11258.470358779434</v>
      </c>
      <c r="F18" s="3">
        <f t="shared" si="2"/>
        <v>4780.0012742751633</v>
      </c>
      <c r="G18" s="3">
        <f t="shared" si="3"/>
        <v>11992.901581866241</v>
      </c>
      <c r="H18" s="3">
        <f t="shared" si="4"/>
        <v>734.43122308680722</v>
      </c>
      <c r="I18" s="6">
        <f>$D$8</f>
        <v>8.9599999999999999E-2</v>
      </c>
      <c r="J18" s="3">
        <f>K2*K10</f>
        <v>44800</v>
      </c>
      <c r="K18" s="3">
        <f>$K$3</f>
        <v>80000</v>
      </c>
      <c r="L18" s="3">
        <f>K18*$K$5</f>
        <v>4640</v>
      </c>
      <c r="M18" s="3">
        <f>$K$11</f>
        <v>8129.7198612732936</v>
      </c>
      <c r="N18" s="3">
        <f>M18-L18</f>
        <v>3489.7198612732936</v>
      </c>
      <c r="O18" s="3">
        <f>J18*$K$6</f>
        <v>9815.68</v>
      </c>
      <c r="P18" s="3">
        <f>O18-M18</f>
        <v>1685.9601387267066</v>
      </c>
    </row>
    <row r="19" spans="1:16" x14ac:dyDescent="0.25">
      <c r="A19" s="1">
        <v>5</v>
      </c>
      <c r="B19" s="3">
        <f t="shared" si="5"/>
        <v>43558.70984196481</v>
      </c>
      <c r="C19" s="3">
        <f t="shared" si="6"/>
        <v>82766.878246052831</v>
      </c>
      <c r="D19" s="3">
        <f t="shared" si="0"/>
        <v>6124.7489902079096</v>
      </c>
      <c r="E19" s="3">
        <f t="shared" si="1"/>
        <v>11258.470358779434</v>
      </c>
      <c r="F19" s="3">
        <f t="shared" si="2"/>
        <v>5133.7213685715242</v>
      </c>
      <c r="G19" s="3">
        <f t="shared" si="3"/>
        <v>11908.951270793177</v>
      </c>
      <c r="H19" s="3">
        <f t="shared" si="4"/>
        <v>650.48091201374336</v>
      </c>
      <c r="I19" s="6">
        <f>I18+I18*$D$9</f>
        <v>9.1392000000000001E-2</v>
      </c>
      <c r="J19" s="3">
        <f>J18-J18*$K$7</f>
        <v>44486.400000000001</v>
      </c>
      <c r="K19" s="3">
        <f>K18-N18</f>
        <v>76510.28013872671</v>
      </c>
      <c r="L19" s="3">
        <f t="shared" ref="L19:L42" si="7">K19*$K$5</f>
        <v>4437.5962480461494</v>
      </c>
      <c r="M19" s="3">
        <f t="shared" ref="M19:M32" si="8">$K$11</f>
        <v>8129.7198612732936</v>
      </c>
      <c r="N19" s="3">
        <f t="shared" ref="N19:N42" si="9">M19-L19</f>
        <v>3692.1236132271442</v>
      </c>
      <c r="O19" s="3">
        <f t="shared" ref="O19:O31" si="10">J19*$K$6</f>
        <v>9746.9702400000006</v>
      </c>
      <c r="P19" s="3">
        <f t="shared" ref="P19:P42" si="11">O19-M19</f>
        <v>1617.2503787267069</v>
      </c>
    </row>
    <row r="20" spans="1:16" x14ac:dyDescent="0.25">
      <c r="A20" s="1">
        <v>6</v>
      </c>
      <c r="B20" s="3">
        <f t="shared" si="5"/>
        <v>43253.798873071057</v>
      </c>
      <c r="C20" s="3">
        <f t="shared" si="6"/>
        <v>77633.156877481306</v>
      </c>
      <c r="D20" s="3">
        <f t="shared" si="0"/>
        <v>5744.8536089336167</v>
      </c>
      <c r="E20" s="3">
        <f t="shared" si="1"/>
        <v>11258.470358779434</v>
      </c>
      <c r="F20" s="3">
        <f t="shared" si="2"/>
        <v>5513.6167498458171</v>
      </c>
      <c r="G20" s="3">
        <f t="shared" si="3"/>
        <v>11825.588611897625</v>
      </c>
      <c r="H20" s="3">
        <f t="shared" si="4"/>
        <v>567.11825311819121</v>
      </c>
      <c r="I20" s="6">
        <f t="shared" ref="I20:I42" si="12">I19+I19*$D$9</f>
        <v>9.3219839999999998E-2</v>
      </c>
      <c r="J20" s="3">
        <f t="shared" ref="J20:J42" si="13">J19-J19*$K$7</f>
        <v>44174.995200000005</v>
      </c>
      <c r="K20" s="3">
        <f t="shared" ref="K20:K42" si="14">K19-N19</f>
        <v>72818.156525499566</v>
      </c>
      <c r="L20" s="3">
        <f t="shared" si="7"/>
        <v>4223.4530784789749</v>
      </c>
      <c r="M20" s="3">
        <f t="shared" si="8"/>
        <v>8129.7198612732936</v>
      </c>
      <c r="N20" s="3">
        <f t="shared" si="9"/>
        <v>3906.2667827943187</v>
      </c>
      <c r="O20" s="3">
        <f t="shared" si="10"/>
        <v>9678.7414483200009</v>
      </c>
      <c r="P20" s="3">
        <f t="shared" si="11"/>
        <v>1549.0215870467073</v>
      </c>
    </row>
    <row r="21" spans="1:16" x14ac:dyDescent="0.25">
      <c r="A21" s="1">
        <v>7</v>
      </c>
      <c r="B21" s="3">
        <f t="shared" si="5"/>
        <v>42951.022280959558</v>
      </c>
      <c r="C21" s="3">
        <f t="shared" si="6"/>
        <v>72119.540127635482</v>
      </c>
      <c r="D21" s="3">
        <f t="shared" si="0"/>
        <v>5336.8459694450257</v>
      </c>
      <c r="E21" s="3">
        <f t="shared" si="1"/>
        <v>11258.470358779434</v>
      </c>
      <c r="F21" s="3">
        <f t="shared" si="2"/>
        <v>5921.6243893344081</v>
      </c>
      <c r="G21" s="3">
        <f t="shared" si="3"/>
        <v>11742.809491614342</v>
      </c>
      <c r="H21" s="3">
        <f t="shared" si="4"/>
        <v>484.33913283490801</v>
      </c>
      <c r="I21" s="6">
        <f t="shared" si="12"/>
        <v>9.5084236799999999E-2</v>
      </c>
      <c r="J21" s="3">
        <f t="shared" si="13"/>
        <v>43865.770233600007</v>
      </c>
      <c r="K21" s="3">
        <f t="shared" si="14"/>
        <v>68911.889742705243</v>
      </c>
      <c r="L21" s="3">
        <f t="shared" si="7"/>
        <v>3996.8896050769044</v>
      </c>
      <c r="M21" s="3">
        <f t="shared" si="8"/>
        <v>8129.7198612732936</v>
      </c>
      <c r="N21" s="3">
        <f t="shared" si="9"/>
        <v>4132.8302561963892</v>
      </c>
      <c r="O21" s="3">
        <f t="shared" si="10"/>
        <v>9610.9902581817605</v>
      </c>
      <c r="P21" s="3">
        <f t="shared" si="11"/>
        <v>1481.2703969084669</v>
      </c>
    </row>
    <row r="22" spans="1:16" x14ac:dyDescent="0.25">
      <c r="A22" s="1">
        <v>8</v>
      </c>
      <c r="B22" s="3">
        <f t="shared" si="5"/>
        <v>42650.365124992844</v>
      </c>
      <c r="C22" s="3">
        <f t="shared" si="6"/>
        <v>66197.915738301075</v>
      </c>
      <c r="D22" s="3">
        <f t="shared" si="0"/>
        <v>4898.6457646342797</v>
      </c>
      <c r="E22" s="3">
        <f t="shared" si="1"/>
        <v>11258.470358779434</v>
      </c>
      <c r="F22" s="3">
        <f t="shared" si="2"/>
        <v>6359.8245941451542</v>
      </c>
      <c r="G22" s="3">
        <f t="shared" si="3"/>
        <v>11660.609825173042</v>
      </c>
      <c r="H22" s="3">
        <f t="shared" si="4"/>
        <v>402.13946639360802</v>
      </c>
      <c r="I22" s="6">
        <f t="shared" si="12"/>
        <v>9.6985921535999997E-2</v>
      </c>
      <c r="J22" s="3">
        <f t="shared" si="13"/>
        <v>43558.70984196481</v>
      </c>
      <c r="K22" s="3">
        <f t="shared" si="14"/>
        <v>64779.059486508857</v>
      </c>
      <c r="L22" s="3">
        <f t="shared" si="7"/>
        <v>3757.1854502175138</v>
      </c>
      <c r="M22" s="3">
        <f t="shared" si="8"/>
        <v>8129.7198612732936</v>
      </c>
      <c r="N22" s="3">
        <f t="shared" si="9"/>
        <v>4372.5344110557799</v>
      </c>
      <c r="O22" s="3">
        <f t="shared" si="10"/>
        <v>9543.713326374489</v>
      </c>
      <c r="P22" s="3">
        <f t="shared" si="11"/>
        <v>1413.9934651011954</v>
      </c>
    </row>
    <row r="23" spans="1:16" x14ac:dyDescent="0.25">
      <c r="A23" s="1">
        <v>9</v>
      </c>
      <c r="B23" s="3">
        <f t="shared" si="5"/>
        <v>42351.812569117894</v>
      </c>
      <c r="C23" s="3">
        <f t="shared" si="6"/>
        <v>59838.091144155922</v>
      </c>
      <c r="D23" s="3">
        <f t="shared" si="0"/>
        <v>4428.0187446675382</v>
      </c>
      <c r="E23" s="3">
        <f t="shared" si="1"/>
        <v>11258.470358779434</v>
      </c>
      <c r="F23" s="3">
        <f t="shared" si="2"/>
        <v>6830.4516141118957</v>
      </c>
      <c r="G23" s="3">
        <f t="shared" si="3"/>
        <v>11578.98555639683</v>
      </c>
      <c r="H23" s="3">
        <f t="shared" si="4"/>
        <v>320.51519761739655</v>
      </c>
      <c r="I23" s="6">
        <f t="shared" si="12"/>
        <v>9.8925639966719991E-2</v>
      </c>
      <c r="J23" s="3">
        <f t="shared" si="13"/>
        <v>43253.798873071057</v>
      </c>
      <c r="K23" s="3">
        <f t="shared" si="14"/>
        <v>60406.525075453079</v>
      </c>
      <c r="L23" s="3">
        <f t="shared" si="7"/>
        <v>3503.5784543762788</v>
      </c>
      <c r="M23" s="3">
        <f t="shared" si="8"/>
        <v>8129.7198612732936</v>
      </c>
      <c r="N23" s="3">
        <f t="shared" si="9"/>
        <v>4626.1414068970153</v>
      </c>
      <c r="O23" s="3">
        <f t="shared" si="10"/>
        <v>9476.9073330898682</v>
      </c>
      <c r="P23" s="3">
        <f t="shared" si="11"/>
        <v>1347.1874718165745</v>
      </c>
    </row>
    <row r="24" spans="1:16" x14ac:dyDescent="0.25">
      <c r="A24" s="1">
        <v>10</v>
      </c>
      <c r="B24" s="3">
        <f t="shared" si="5"/>
        <v>42055.349881134069</v>
      </c>
      <c r="C24" s="3">
        <f t="shared" si="6"/>
        <v>53007.639530044027</v>
      </c>
      <c r="D24" s="3">
        <f t="shared" si="0"/>
        <v>3922.5653252232578</v>
      </c>
      <c r="E24" s="3">
        <f t="shared" si="1"/>
        <v>11258.470358779434</v>
      </c>
      <c r="F24" s="3">
        <f t="shared" si="2"/>
        <v>7335.905033556176</v>
      </c>
      <c r="G24" s="3">
        <f t="shared" si="3"/>
        <v>11497.932657502053</v>
      </c>
      <c r="H24" s="3">
        <f t="shared" si="4"/>
        <v>239.46229872261938</v>
      </c>
      <c r="I24" s="6">
        <f t="shared" si="12"/>
        <v>0.1009041527660544</v>
      </c>
      <c r="J24" s="3">
        <f t="shared" si="13"/>
        <v>42951.022280959558</v>
      </c>
      <c r="K24" s="3">
        <f t="shared" si="14"/>
        <v>55780.383668556067</v>
      </c>
      <c r="L24" s="3">
        <f t="shared" si="7"/>
        <v>3235.2622527762519</v>
      </c>
      <c r="M24" s="3">
        <f t="shared" si="8"/>
        <v>8129.7198612732936</v>
      </c>
      <c r="N24" s="3">
        <f t="shared" si="9"/>
        <v>4894.4576084970413</v>
      </c>
      <c r="O24" s="3">
        <f t="shared" si="10"/>
        <v>9410.5689817582388</v>
      </c>
      <c r="P24" s="3">
        <f t="shared" si="11"/>
        <v>1280.8491204849452</v>
      </c>
    </row>
    <row r="25" spans="1:16" x14ac:dyDescent="0.25">
      <c r="A25" s="1">
        <v>11</v>
      </c>
      <c r="B25" s="3">
        <f t="shared" si="5"/>
        <v>41760.962431966131</v>
      </c>
      <c r="C25" s="3">
        <f t="shared" si="6"/>
        <v>45671.73449648785</v>
      </c>
      <c r="D25" s="3">
        <f t="shared" si="0"/>
        <v>3379.708352740101</v>
      </c>
      <c r="E25" s="3">
        <f t="shared" si="1"/>
        <v>11258.470358779434</v>
      </c>
      <c r="F25" s="3">
        <f t="shared" si="2"/>
        <v>7878.7620060393328</v>
      </c>
      <c r="G25" s="3">
        <f t="shared" si="3"/>
        <v>11417.447128899539</v>
      </c>
      <c r="H25" s="3">
        <f t="shared" si="4"/>
        <v>158.97677012010536</v>
      </c>
      <c r="I25" s="6">
        <f t="shared" si="12"/>
        <v>0.10292223582137548</v>
      </c>
      <c r="J25" s="3">
        <f t="shared" si="13"/>
        <v>42650.365124992844</v>
      </c>
      <c r="K25" s="3">
        <f t="shared" si="14"/>
        <v>50885.926060059028</v>
      </c>
      <c r="L25" s="3">
        <f t="shared" si="7"/>
        <v>2951.3837114834237</v>
      </c>
      <c r="M25" s="3">
        <f t="shared" si="8"/>
        <v>8129.7198612732936</v>
      </c>
      <c r="N25" s="3">
        <f t="shared" si="9"/>
        <v>5178.3361497898695</v>
      </c>
      <c r="O25" s="3">
        <f t="shared" si="10"/>
        <v>9344.6949988859324</v>
      </c>
      <c r="P25" s="3">
        <f t="shared" si="11"/>
        <v>1214.9751376126387</v>
      </c>
    </row>
    <row r="26" spans="1:16" x14ac:dyDescent="0.25">
      <c r="A26" s="1">
        <v>12</v>
      </c>
      <c r="B26" s="3">
        <f t="shared" si="5"/>
        <v>41468.635694942364</v>
      </c>
      <c r="C26" s="3">
        <f t="shared" si="6"/>
        <v>37792.972490448519</v>
      </c>
      <c r="D26" s="3">
        <f t="shared" si="0"/>
        <v>2796.6799642931901</v>
      </c>
      <c r="E26" s="3">
        <f t="shared" si="1"/>
        <v>11258.470358779434</v>
      </c>
      <c r="F26" s="3">
        <f t="shared" si="2"/>
        <v>8461.7903944862446</v>
      </c>
      <c r="G26" s="3">
        <f t="shared" si="3"/>
        <v>11337.524998997242</v>
      </c>
      <c r="H26" s="3">
        <f t="shared" si="4"/>
        <v>79.054640217807901</v>
      </c>
      <c r="I26" s="6">
        <f t="shared" si="12"/>
        <v>0.10498068053780299</v>
      </c>
      <c r="J26" s="3">
        <f t="shared" si="13"/>
        <v>42351.812569117894</v>
      </c>
      <c r="K26" s="3">
        <f t="shared" si="14"/>
        <v>45707.589910269162</v>
      </c>
      <c r="L26" s="3">
        <f t="shared" si="7"/>
        <v>2651.0402147956115</v>
      </c>
      <c r="M26" s="3">
        <f t="shared" si="8"/>
        <v>8129.7198612732936</v>
      </c>
      <c r="N26" s="3">
        <f t="shared" si="9"/>
        <v>5478.6796464776817</v>
      </c>
      <c r="O26" s="3">
        <f t="shared" si="10"/>
        <v>9279.2821338937301</v>
      </c>
      <c r="P26" s="3">
        <f t="shared" si="11"/>
        <v>1149.5622726204365</v>
      </c>
    </row>
    <row r="27" spans="1:16" x14ac:dyDescent="0.25">
      <c r="A27" s="1">
        <v>13</v>
      </c>
      <c r="B27" s="3">
        <f t="shared" si="5"/>
        <v>41178.355245077764</v>
      </c>
      <c r="C27" s="3">
        <f t="shared" si="6"/>
        <v>29331.182095962275</v>
      </c>
      <c r="D27" s="3">
        <f t="shared" si="0"/>
        <v>2170.507475101208</v>
      </c>
      <c r="E27" s="3">
        <f t="shared" si="1"/>
        <v>11258.470358779434</v>
      </c>
      <c r="F27" s="3">
        <f t="shared" si="2"/>
        <v>9087.9628836782249</v>
      </c>
      <c r="G27" s="3">
        <f t="shared" si="3"/>
        <v>11258.162324004259</v>
      </c>
      <c r="H27" s="3">
        <f t="shared" si="4"/>
        <v>-0.30803477517474676</v>
      </c>
      <c r="I27" s="6">
        <f t="shared" si="12"/>
        <v>0.10708029414855905</v>
      </c>
      <c r="J27" s="3">
        <f t="shared" si="13"/>
        <v>42055.349881134069</v>
      </c>
      <c r="K27" s="3">
        <f t="shared" si="14"/>
        <v>40228.910263791477</v>
      </c>
      <c r="L27" s="3">
        <f t="shared" si="7"/>
        <v>2333.2767952999056</v>
      </c>
      <c r="M27" s="3">
        <f t="shared" si="8"/>
        <v>8129.7198612732936</v>
      </c>
      <c r="N27" s="3">
        <f t="shared" si="9"/>
        <v>5796.443065973388</v>
      </c>
      <c r="O27" s="3">
        <f t="shared" si="10"/>
        <v>9214.3271589564738</v>
      </c>
      <c r="P27" s="3">
        <f t="shared" si="11"/>
        <v>1084.6072976831801</v>
      </c>
    </row>
    <row r="28" spans="1:16" x14ac:dyDescent="0.25">
      <c r="A28" s="1">
        <v>14</v>
      </c>
      <c r="B28" s="3">
        <f t="shared" si="5"/>
        <v>40890.106758362221</v>
      </c>
      <c r="C28" s="3">
        <f t="shared" si="6"/>
        <v>20243.21921228405</v>
      </c>
      <c r="D28" s="3">
        <f t="shared" si="0"/>
        <v>1497.9982217090196</v>
      </c>
      <c r="E28" s="3">
        <f t="shared" si="1"/>
        <v>11258.470358779434</v>
      </c>
      <c r="F28" s="3">
        <f t="shared" si="2"/>
        <v>9760.4721370704137</v>
      </c>
      <c r="G28" s="3">
        <f t="shared" si="3"/>
        <v>11179.35518773623</v>
      </c>
      <c r="H28" s="3">
        <f t="shared" si="4"/>
        <v>-79.1151710432041</v>
      </c>
      <c r="I28" s="6">
        <f t="shared" si="12"/>
        <v>0.10922190003153023</v>
      </c>
      <c r="J28" s="3">
        <f t="shared" si="13"/>
        <v>41760.962431966131</v>
      </c>
      <c r="K28" s="3">
        <f t="shared" si="14"/>
        <v>34432.467197818085</v>
      </c>
      <c r="L28" s="3">
        <f t="shared" si="7"/>
        <v>1997.083097473449</v>
      </c>
      <c r="M28" s="3">
        <f t="shared" si="8"/>
        <v>8129.7198612732936</v>
      </c>
      <c r="N28" s="3">
        <f t="shared" si="9"/>
        <v>6132.6367637998446</v>
      </c>
      <c r="O28" s="3">
        <f t="shared" si="10"/>
        <v>9149.8268688437784</v>
      </c>
      <c r="P28" s="3">
        <f t="shared" si="11"/>
        <v>1020.1070075704847</v>
      </c>
    </row>
    <row r="29" spans="1:16" x14ac:dyDescent="0.25">
      <c r="A29" s="1">
        <v>15</v>
      </c>
      <c r="B29" s="3">
        <f t="shared" si="5"/>
        <v>40603.876011053682</v>
      </c>
      <c r="C29" s="3">
        <f t="shared" si="6"/>
        <v>10482.747075213636</v>
      </c>
      <c r="D29" s="3">
        <f t="shared" si="0"/>
        <v>775.72328356580897</v>
      </c>
      <c r="E29" s="3">
        <f t="shared" si="1"/>
        <v>11258.470358779434</v>
      </c>
      <c r="F29" s="3">
        <f t="shared" si="2"/>
        <v>10482.747075213625</v>
      </c>
      <c r="G29" s="3">
        <f t="shared" si="3"/>
        <v>11101.099701422076</v>
      </c>
      <c r="H29" s="3">
        <f t="shared" si="4"/>
        <v>-157.37065735735814</v>
      </c>
      <c r="I29" s="6">
        <f t="shared" si="12"/>
        <v>0.11140633803216084</v>
      </c>
      <c r="J29" s="3">
        <f t="shared" si="13"/>
        <v>41468.635694942364</v>
      </c>
      <c r="K29" s="3">
        <f t="shared" si="14"/>
        <v>28299.83043401824</v>
      </c>
      <c r="L29" s="3">
        <f t="shared" si="7"/>
        <v>1641.390165173058</v>
      </c>
      <c r="M29" s="3">
        <f t="shared" si="8"/>
        <v>8129.7198612732936</v>
      </c>
      <c r="N29" s="3">
        <f t="shared" si="9"/>
        <v>6488.3296961002361</v>
      </c>
      <c r="O29" s="3">
        <f t="shared" si="10"/>
        <v>9085.778080761871</v>
      </c>
      <c r="P29" s="3">
        <f t="shared" si="11"/>
        <v>956.05821948857738</v>
      </c>
    </row>
    <row r="30" spans="1:16" x14ac:dyDescent="0.25">
      <c r="A30" s="1">
        <v>16</v>
      </c>
      <c r="B30" s="3">
        <f t="shared" si="5"/>
        <v>40319.64887897631</v>
      </c>
      <c r="C30" s="3">
        <f t="shared" si="6"/>
        <v>0</v>
      </c>
      <c r="D30" s="3">
        <f t="shared" si="0"/>
        <v>0</v>
      </c>
      <c r="E30" s="3">
        <v>0</v>
      </c>
      <c r="F30" s="3">
        <f t="shared" si="2"/>
        <v>0</v>
      </c>
      <c r="G30" s="3">
        <f>B30*I30</f>
        <v>4581.7017209962551</v>
      </c>
      <c r="H30" s="3">
        <f t="shared" si="4"/>
        <v>4581.7017209962551</v>
      </c>
      <c r="I30" s="6">
        <f t="shared" si="12"/>
        <v>0.11363446479280405</v>
      </c>
      <c r="J30" s="3">
        <f t="shared" si="13"/>
        <v>41178.355245077764</v>
      </c>
      <c r="K30" s="3">
        <f t="shared" si="14"/>
        <v>21811.500737918002</v>
      </c>
      <c r="L30" s="3">
        <f t="shared" si="7"/>
        <v>1265.0670427992443</v>
      </c>
      <c r="M30" s="3">
        <f t="shared" si="8"/>
        <v>8129.7198612732936</v>
      </c>
      <c r="N30" s="3">
        <f t="shared" si="9"/>
        <v>6864.6528184740491</v>
      </c>
      <c r="O30" s="3">
        <f t="shared" si="10"/>
        <v>9022.1776341965378</v>
      </c>
      <c r="P30" s="3">
        <f t="shared" si="11"/>
        <v>892.45777292324419</v>
      </c>
    </row>
    <row r="31" spans="1:16" x14ac:dyDescent="0.25">
      <c r="A31" s="1">
        <v>17</v>
      </c>
      <c r="B31" s="3">
        <f t="shared" si="5"/>
        <v>40037.411336823476</v>
      </c>
      <c r="C31" s="3">
        <f t="shared" si="6"/>
        <v>0</v>
      </c>
      <c r="D31" s="3">
        <f t="shared" si="0"/>
        <v>0</v>
      </c>
      <c r="E31" s="3">
        <v>0</v>
      </c>
      <c r="F31" s="3">
        <f t="shared" si="2"/>
        <v>0</v>
      </c>
      <c r="G31" s="3">
        <f t="shared" ref="G31:G39" si="15">B31*I31</f>
        <v>4640.622405128267</v>
      </c>
      <c r="H31" s="3">
        <f t="shared" si="4"/>
        <v>4640.622405128267</v>
      </c>
      <c r="I31" s="6">
        <f t="shared" si="12"/>
        <v>0.11590715408866013</v>
      </c>
      <c r="J31" s="3">
        <f t="shared" si="13"/>
        <v>40890.106758362221</v>
      </c>
      <c r="K31" s="3">
        <f t="shared" si="14"/>
        <v>14946.847919443953</v>
      </c>
      <c r="L31" s="3">
        <f t="shared" si="7"/>
        <v>866.9171793277493</v>
      </c>
      <c r="M31" s="3">
        <f t="shared" si="8"/>
        <v>8129.7198612732936</v>
      </c>
      <c r="N31" s="3">
        <f t="shared" si="9"/>
        <v>7262.8026819455445</v>
      </c>
      <c r="O31" s="3">
        <f t="shared" si="10"/>
        <v>8959.0223907571617</v>
      </c>
      <c r="P31" s="3">
        <f t="shared" si="11"/>
        <v>829.30252948386806</v>
      </c>
    </row>
    <row r="32" spans="1:16" x14ac:dyDescent="0.25">
      <c r="A32" s="1">
        <v>18</v>
      </c>
      <c r="B32" s="3">
        <f t="shared" si="5"/>
        <v>39757.149457465712</v>
      </c>
      <c r="C32" s="3">
        <f t="shared" si="6"/>
        <v>0</v>
      </c>
      <c r="D32" s="3">
        <f t="shared" si="0"/>
        <v>0</v>
      </c>
      <c r="E32" s="3">
        <v>0</v>
      </c>
      <c r="F32" s="3">
        <f t="shared" si="2"/>
        <v>0</v>
      </c>
      <c r="G32" s="3">
        <f t="shared" si="15"/>
        <v>4700.3008092582168</v>
      </c>
      <c r="H32" s="3">
        <f t="shared" si="4"/>
        <v>4700.3008092582168</v>
      </c>
      <c r="I32" s="6">
        <f t="shared" si="12"/>
        <v>0.11822529717043334</v>
      </c>
      <c r="J32" s="3">
        <f t="shared" si="13"/>
        <v>40603.876011053682</v>
      </c>
      <c r="K32" s="3">
        <f t="shared" si="14"/>
        <v>7684.0452374984088</v>
      </c>
      <c r="L32" s="3">
        <f t="shared" si="7"/>
        <v>445.67462377490773</v>
      </c>
      <c r="M32" s="3">
        <f t="shared" si="8"/>
        <v>8129.7198612732936</v>
      </c>
      <c r="N32" s="3">
        <f t="shared" si="9"/>
        <v>7684.0452374983861</v>
      </c>
      <c r="O32" s="3">
        <f>J32*$K$6</f>
        <v>8896.3092340218609</v>
      </c>
      <c r="P32" s="3">
        <f t="shared" si="11"/>
        <v>766.58937274856726</v>
      </c>
    </row>
    <row r="33" spans="1:16" x14ac:dyDescent="0.25">
      <c r="A33" s="1">
        <v>19</v>
      </c>
      <c r="B33" s="3">
        <f t="shared" si="5"/>
        <v>39478.849411263451</v>
      </c>
      <c r="C33" s="3">
        <f t="shared" si="6"/>
        <v>0</v>
      </c>
      <c r="D33" s="3">
        <f t="shared" si="0"/>
        <v>0</v>
      </c>
      <c r="E33" s="3">
        <v>0</v>
      </c>
      <c r="F33" s="3">
        <f t="shared" si="2"/>
        <v>0</v>
      </c>
      <c r="G33" s="3">
        <f t="shared" si="15"/>
        <v>4760.7466776652773</v>
      </c>
      <c r="H33" s="3">
        <f t="shared" si="4"/>
        <v>4760.7466776652773</v>
      </c>
      <c r="I33" s="6">
        <f t="shared" si="12"/>
        <v>0.12058980311384201</v>
      </c>
      <c r="J33" s="3">
        <f t="shared" si="13"/>
        <v>40319.64887897631</v>
      </c>
      <c r="K33" s="3">
        <f t="shared" si="14"/>
        <v>2.2737367544323206E-11</v>
      </c>
      <c r="L33" s="3">
        <f t="shared" si="7"/>
        <v>1.3187673175707461E-12</v>
      </c>
      <c r="M33" s="3">
        <v>0</v>
      </c>
      <c r="N33" s="3">
        <f t="shared" si="9"/>
        <v>-1.3187673175707461E-12</v>
      </c>
      <c r="O33" s="3">
        <f>J33*I33</f>
        <v>4862.1385199349943</v>
      </c>
      <c r="P33" s="3">
        <f t="shared" si="11"/>
        <v>4862.1385199349943</v>
      </c>
    </row>
    <row r="34" spans="1:16" x14ac:dyDescent="0.25">
      <c r="A34" s="1">
        <v>20</v>
      </c>
      <c r="B34" s="3">
        <f t="shared" si="5"/>
        <v>39202.497465384607</v>
      </c>
      <c r="C34" s="3">
        <f t="shared" si="6"/>
        <v>0</v>
      </c>
      <c r="D34" s="3">
        <f t="shared" si="0"/>
        <v>0</v>
      </c>
      <c r="E34" s="3">
        <v>0</v>
      </c>
      <c r="F34" s="3">
        <f t="shared" si="2"/>
        <v>0</v>
      </c>
      <c r="G34" s="3">
        <f t="shared" si="15"/>
        <v>4821.969879940053</v>
      </c>
      <c r="H34" s="3">
        <f t="shared" si="4"/>
        <v>4821.969879940053</v>
      </c>
      <c r="I34" s="6">
        <f t="shared" si="12"/>
        <v>0.12300159917611886</v>
      </c>
      <c r="J34" s="3">
        <f t="shared" si="13"/>
        <v>40037.411336823476</v>
      </c>
      <c r="K34" s="3">
        <f t="shared" si="14"/>
        <v>2.4056134861893951E-11</v>
      </c>
      <c r="L34" s="3">
        <f t="shared" si="7"/>
        <v>1.3952558219898492E-12</v>
      </c>
      <c r="M34" s="3">
        <v>0</v>
      </c>
      <c r="N34" s="3">
        <f t="shared" si="9"/>
        <v>-1.3952558219898492E-12</v>
      </c>
      <c r="O34" s="3">
        <f t="shared" ref="O34:O42" si="16">J34*I34</f>
        <v>4924.6656213013584</v>
      </c>
      <c r="P34" s="3">
        <f t="shared" si="11"/>
        <v>4924.6656213013584</v>
      </c>
    </row>
    <row r="35" spans="1:16" x14ac:dyDescent="0.25">
      <c r="A35" s="1">
        <v>21</v>
      </c>
      <c r="B35" s="3">
        <f t="shared" si="5"/>
        <v>38928.079983126918</v>
      </c>
      <c r="C35" s="3">
        <f t="shared" si="6"/>
        <v>0</v>
      </c>
      <c r="D35" s="3">
        <f t="shared" si="0"/>
        <v>0</v>
      </c>
      <c r="E35" s="3">
        <v>0</v>
      </c>
      <c r="F35" s="3">
        <f t="shared" si="2"/>
        <v>0</v>
      </c>
      <c r="G35" s="3">
        <f t="shared" si="15"/>
        <v>4883.9804125960827</v>
      </c>
      <c r="H35" s="3">
        <f t="shared" si="4"/>
        <v>4883.9804125960827</v>
      </c>
      <c r="I35" s="6">
        <f t="shared" si="12"/>
        <v>0.12546163115964123</v>
      </c>
      <c r="J35" s="3">
        <f t="shared" si="13"/>
        <v>39757.149457465712</v>
      </c>
      <c r="K35" s="3">
        <f t="shared" si="14"/>
        <v>2.5451390683883799E-11</v>
      </c>
      <c r="L35" s="3">
        <f t="shared" si="7"/>
        <v>1.4761806596652604E-12</v>
      </c>
      <c r="M35" s="3">
        <v>0</v>
      </c>
      <c r="N35" s="3">
        <f t="shared" si="9"/>
        <v>-1.4761806596652604E-12</v>
      </c>
      <c r="O35" s="3">
        <f t="shared" si="16"/>
        <v>4987.9968211912937</v>
      </c>
      <c r="P35" s="3">
        <f t="shared" si="11"/>
        <v>4987.9968211912937</v>
      </c>
    </row>
    <row r="36" spans="1:16" x14ac:dyDescent="0.25">
      <c r="A36" s="1">
        <v>22</v>
      </c>
      <c r="B36" s="3">
        <f t="shared" si="5"/>
        <v>38655.583423245029</v>
      </c>
      <c r="C36" s="3">
        <f t="shared" si="6"/>
        <v>0</v>
      </c>
      <c r="D36" s="3">
        <f t="shared" si="0"/>
        <v>0</v>
      </c>
      <c r="E36" s="3">
        <v>0</v>
      </c>
      <c r="F36" s="3">
        <f t="shared" si="2"/>
        <v>0</v>
      </c>
      <c r="G36" s="3">
        <f t="shared" si="15"/>
        <v>4946.7884007020684</v>
      </c>
      <c r="H36" s="3">
        <f t="shared" si="4"/>
        <v>4946.7884007020684</v>
      </c>
      <c r="I36" s="6">
        <f t="shared" si="12"/>
        <v>0.12797086378283407</v>
      </c>
      <c r="J36" s="3">
        <f t="shared" si="13"/>
        <v>39478.849411263451</v>
      </c>
      <c r="K36" s="3">
        <f t="shared" si="14"/>
        <v>2.692757134354906E-11</v>
      </c>
      <c r="L36" s="3">
        <f t="shared" si="7"/>
        <v>1.5617991379258455E-12</v>
      </c>
      <c r="M36" s="3">
        <v>0</v>
      </c>
      <c r="N36" s="3">
        <f t="shared" si="9"/>
        <v>-1.5617991379258455E-12</v>
      </c>
      <c r="O36" s="3">
        <f t="shared" si="16"/>
        <v>5052.1424603118139</v>
      </c>
      <c r="P36" s="3">
        <f t="shared" si="11"/>
        <v>5052.1424603118139</v>
      </c>
    </row>
    <row r="37" spans="1:16" x14ac:dyDescent="0.25">
      <c r="A37" s="1">
        <v>23</v>
      </c>
      <c r="B37" s="3">
        <f t="shared" si="5"/>
        <v>38384.994339282312</v>
      </c>
      <c r="C37" s="3">
        <f t="shared" si="6"/>
        <v>0</v>
      </c>
      <c r="D37" s="3">
        <f t="shared" si="0"/>
        <v>0</v>
      </c>
      <c r="E37" s="3">
        <v>0</v>
      </c>
      <c r="F37" s="3">
        <f t="shared" si="2"/>
        <v>0</v>
      </c>
      <c r="G37" s="3">
        <f t="shared" si="15"/>
        <v>5010.4040995350961</v>
      </c>
      <c r="H37" s="3">
        <f t="shared" si="4"/>
        <v>5010.4040995350961</v>
      </c>
      <c r="I37" s="6">
        <f t="shared" si="12"/>
        <v>0.13053028105849074</v>
      </c>
      <c r="J37" s="3">
        <f t="shared" si="13"/>
        <v>39202.497465384607</v>
      </c>
      <c r="K37" s="3">
        <f t="shared" si="14"/>
        <v>2.8489370481474907E-11</v>
      </c>
      <c r="L37" s="3">
        <f t="shared" si="7"/>
        <v>1.6523834879255447E-12</v>
      </c>
      <c r="M37" s="3">
        <v>0</v>
      </c>
      <c r="N37" s="3">
        <f t="shared" si="9"/>
        <v>-1.6523834879255447E-12</v>
      </c>
      <c r="O37" s="3">
        <f t="shared" si="16"/>
        <v>5117.113012351424</v>
      </c>
      <c r="P37" s="3">
        <f t="shared" si="11"/>
        <v>5117.113012351424</v>
      </c>
    </row>
    <row r="38" spans="1:16" x14ac:dyDescent="0.25">
      <c r="A38" s="1">
        <v>24</v>
      </c>
      <c r="B38" s="3">
        <f t="shared" si="5"/>
        <v>38116.299378907337</v>
      </c>
      <c r="C38" s="3">
        <f t="shared" si="6"/>
        <v>0</v>
      </c>
      <c r="D38" s="3">
        <f t="shared" si="0"/>
        <v>0</v>
      </c>
      <c r="E38" s="3">
        <v>0</v>
      </c>
      <c r="F38" s="3">
        <f t="shared" si="2"/>
        <v>0</v>
      </c>
      <c r="G38" s="3">
        <f t="shared" si="15"/>
        <v>5074.8378962551178</v>
      </c>
      <c r="H38" s="3">
        <f t="shared" si="4"/>
        <v>5074.8378962551178</v>
      </c>
      <c r="I38" s="6">
        <f t="shared" si="12"/>
        <v>0.13314088667966056</v>
      </c>
      <c r="J38" s="3">
        <f t="shared" si="13"/>
        <v>38928.079983126918</v>
      </c>
      <c r="K38" s="3">
        <f t="shared" si="14"/>
        <v>3.0141753969400453E-11</v>
      </c>
      <c r="L38" s="3">
        <f t="shared" si="7"/>
        <v>1.7482217302252264E-12</v>
      </c>
      <c r="M38" s="3">
        <v>0</v>
      </c>
      <c r="N38" s="3">
        <f t="shared" si="9"/>
        <v>-1.7482217302252264E-12</v>
      </c>
      <c r="O38" s="3">
        <f t="shared" si="16"/>
        <v>5182.9190856902633</v>
      </c>
      <c r="P38" s="3">
        <f t="shared" si="11"/>
        <v>5182.9190856902633</v>
      </c>
    </row>
    <row r="39" spans="1:16" x14ac:dyDescent="0.25">
      <c r="A39" s="1">
        <v>25</v>
      </c>
      <c r="B39" s="3">
        <f t="shared" si="5"/>
        <v>37849.485283254988</v>
      </c>
      <c r="C39" s="3">
        <f t="shared" si="6"/>
        <v>0</v>
      </c>
      <c r="D39" s="3">
        <f t="shared" si="0"/>
        <v>0</v>
      </c>
      <c r="E39" s="3">
        <v>0</v>
      </c>
      <c r="F39" s="3">
        <f t="shared" si="2"/>
        <v>0</v>
      </c>
      <c r="G39" s="3">
        <f t="shared" si="15"/>
        <v>5140.1003116009588</v>
      </c>
      <c r="H39" s="3">
        <f t="shared" si="4"/>
        <v>5140.1003116009588</v>
      </c>
      <c r="I39" s="6">
        <f t="shared" si="12"/>
        <v>0.13580370441325376</v>
      </c>
      <c r="J39" s="3">
        <f t="shared" si="13"/>
        <v>38655.583423245029</v>
      </c>
      <c r="K39" s="3">
        <f t="shared" si="14"/>
        <v>3.1889975699625683E-11</v>
      </c>
      <c r="L39" s="3">
        <f t="shared" si="7"/>
        <v>1.8496185905782896E-12</v>
      </c>
      <c r="M39" s="3">
        <v>0</v>
      </c>
      <c r="N39" s="3">
        <f t="shared" si="9"/>
        <v>-1.8496185905782896E-12</v>
      </c>
      <c r="O39" s="3">
        <f t="shared" si="16"/>
        <v>5249.5714251322397</v>
      </c>
      <c r="P39" s="3">
        <f t="shared" si="11"/>
        <v>5249.5714251322397</v>
      </c>
    </row>
    <row r="40" spans="1:16" x14ac:dyDescent="0.25">
      <c r="A40" s="1">
        <v>26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6">
        <f t="shared" si="12"/>
        <v>0.13851977850151884</v>
      </c>
      <c r="J40" s="3">
        <f t="shared" si="13"/>
        <v>38384.994339282312</v>
      </c>
      <c r="K40" s="3">
        <f t="shared" si="14"/>
        <v>3.3739594290203971E-11</v>
      </c>
      <c r="L40" s="3">
        <f t="shared" si="7"/>
        <v>1.9568964688318303E-12</v>
      </c>
      <c r="M40" s="3">
        <v>0</v>
      </c>
      <c r="N40" s="3">
        <f t="shared" si="9"/>
        <v>-1.9568964688318303E-12</v>
      </c>
      <c r="O40" s="3">
        <f t="shared" si="16"/>
        <v>5317.0809136594398</v>
      </c>
      <c r="P40" s="3">
        <f t="shared" si="11"/>
        <v>5317.0809136594398</v>
      </c>
    </row>
    <row r="41" spans="1:16" x14ac:dyDescent="0.25">
      <c r="A41" s="1">
        <v>27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6">
        <f t="shared" si="12"/>
        <v>0.1412901740715492</v>
      </c>
      <c r="J41" s="3">
        <f t="shared" si="13"/>
        <v>38116.299378907337</v>
      </c>
      <c r="K41" s="3">
        <f t="shared" si="14"/>
        <v>3.56964907590358E-11</v>
      </c>
      <c r="L41" s="3">
        <f t="shared" si="7"/>
        <v>2.0703964640240764E-12</v>
      </c>
      <c r="M41" s="3">
        <v>0</v>
      </c>
      <c r="N41" s="3">
        <f t="shared" si="9"/>
        <v>-2.0703964640240764E-12</v>
      </c>
      <c r="O41" s="3">
        <f t="shared" si="16"/>
        <v>5385.4585742091003</v>
      </c>
      <c r="P41" s="3">
        <f t="shared" si="11"/>
        <v>5385.4585742091003</v>
      </c>
    </row>
    <row r="42" spans="1:16" x14ac:dyDescent="0.25">
      <c r="A42" s="1">
        <v>28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6">
        <f t="shared" si="12"/>
        <v>0.1441159775529802</v>
      </c>
      <c r="J42" s="3">
        <f t="shared" si="13"/>
        <v>37849.485283254988</v>
      </c>
      <c r="K42" s="3">
        <f t="shared" si="14"/>
        <v>3.7766887223059878E-11</v>
      </c>
      <c r="L42" s="3">
        <f t="shared" si="7"/>
        <v>2.1904794589374731E-12</v>
      </c>
      <c r="M42" s="3">
        <v>0</v>
      </c>
      <c r="N42" s="3">
        <f t="shared" si="9"/>
        <v>-2.1904794589374731E-12</v>
      </c>
      <c r="O42" s="3">
        <f t="shared" si="16"/>
        <v>5454.7155714734299</v>
      </c>
      <c r="P42" s="3">
        <f t="shared" si="11"/>
        <v>5454.7155714734299</v>
      </c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7" t="s">
        <v>29</v>
      </c>
      <c r="B44" s="8">
        <f t="shared" ref="B44:O44" si="17">SUM(B15:B42)</f>
        <v>1030780.1591039727</v>
      </c>
      <c r="C44" s="8">
        <f t="shared" si="17"/>
        <v>930771.01867150702</v>
      </c>
      <c r="D44" s="8">
        <f t="shared" si="17"/>
        <v>68877.05538169152</v>
      </c>
      <c r="E44" s="8">
        <f t="shared" si="17"/>
        <v>168877.05538169146</v>
      </c>
      <c r="F44" s="8">
        <f t="shared" si="17"/>
        <v>99999.999999999985</v>
      </c>
      <c r="G44" s="8">
        <f t="shared" si="17"/>
        <v>223551.16639766004</v>
      </c>
      <c r="H44" s="8">
        <f t="shared" si="17"/>
        <v>54674.111015968541</v>
      </c>
      <c r="I44" s="8"/>
      <c r="J44" s="8">
        <f t="shared" si="17"/>
        <v>1030780.1591039727</v>
      </c>
      <c r="K44" s="8">
        <f t="shared" si="17"/>
        <v>723203.41239826579</v>
      </c>
      <c r="L44" s="8">
        <f t="shared" si="17"/>
        <v>41945.797919099423</v>
      </c>
      <c r="M44" s="8">
        <f t="shared" si="17"/>
        <v>121945.79791909936</v>
      </c>
      <c r="N44" s="8">
        <f t="shared" si="17"/>
        <v>79999.999999999985</v>
      </c>
      <c r="O44" s="8">
        <f t="shared" si="17"/>
        <v>191768.79209329712</v>
      </c>
      <c r="P44" s="8">
        <f>SUM(P15:P42)</f>
        <v>69822.994174197651</v>
      </c>
    </row>
  </sheetData>
  <mergeCells count="25">
    <mergeCell ref="A11:C11"/>
    <mergeCell ref="A12:C12"/>
    <mergeCell ref="A13:H13"/>
    <mergeCell ref="A2:C2"/>
    <mergeCell ref="A3:C3"/>
    <mergeCell ref="A4:C4"/>
    <mergeCell ref="A5:C5"/>
    <mergeCell ref="A6:C6"/>
    <mergeCell ref="A7:C7"/>
    <mergeCell ref="J13:P13"/>
    <mergeCell ref="H8:J8"/>
    <mergeCell ref="H9:J9"/>
    <mergeCell ref="H10:J10"/>
    <mergeCell ref="A1:E1"/>
    <mergeCell ref="H1:L1"/>
    <mergeCell ref="H11:J11"/>
    <mergeCell ref="H2:J2"/>
    <mergeCell ref="H3:J3"/>
    <mergeCell ref="H4:J4"/>
    <mergeCell ref="H5:J5"/>
    <mergeCell ref="H6:J6"/>
    <mergeCell ref="H7:J7"/>
    <mergeCell ref="A8:C8"/>
    <mergeCell ref="A9:C9"/>
    <mergeCell ref="A10:C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Kajkut</dc:creator>
  <cp:lastModifiedBy>user</cp:lastModifiedBy>
  <dcterms:created xsi:type="dcterms:W3CDTF">2021-05-12T13:06:35Z</dcterms:created>
  <dcterms:modified xsi:type="dcterms:W3CDTF">2021-05-12T14:28:30Z</dcterms:modified>
</cp:coreProperties>
</file>