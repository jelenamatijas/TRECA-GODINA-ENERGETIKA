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1" i="2"/>
  <c r="C8"/>
  <c r="C9" s="1"/>
  <c r="B8"/>
  <c r="B9" s="1"/>
  <c r="B11" s="1"/>
  <c r="C7"/>
  <c r="B7"/>
  <c r="C4"/>
  <c r="B4"/>
  <c r="R11" i="1"/>
  <c r="R10"/>
  <c r="R9"/>
  <c r="R8"/>
  <c r="R7"/>
  <c r="R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6"/>
  <c r="R4"/>
  <c r="R3"/>
</calcChain>
</file>

<file path=xl/sharedStrings.xml><?xml version="1.0" encoding="utf-8"?>
<sst xmlns="http://schemas.openxmlformats.org/spreadsheetml/2006/main" count="36" uniqueCount="35">
  <si>
    <t>Proizvodjac</t>
  </si>
  <si>
    <t>Nominalna snaga[kW]</t>
  </si>
  <si>
    <t>Precnik lopatica[m]</t>
  </si>
  <si>
    <t>Brzina vjetra</t>
  </si>
  <si>
    <t>v[m/s]</t>
  </si>
  <si>
    <t>v[mph]</t>
  </si>
  <si>
    <t>NEG Micon</t>
  </si>
  <si>
    <t>Nordex</t>
  </si>
  <si>
    <t>kW</t>
  </si>
  <si>
    <t>vsr1[m/s]</t>
  </si>
  <si>
    <t>vsr2[m/s]</t>
  </si>
  <si>
    <t>c1</t>
  </si>
  <si>
    <t>c2</t>
  </si>
  <si>
    <t>k</t>
  </si>
  <si>
    <t>f1(v)</t>
  </si>
  <si>
    <t>f2(v)</t>
  </si>
  <si>
    <t>Pg2*t2[kWh]</t>
  </si>
  <si>
    <t>Pg1*t1[kWh]</t>
  </si>
  <si>
    <t>Wg1[kWh]</t>
  </si>
  <si>
    <t>Wg2[kWh]</t>
  </si>
  <si>
    <t>CF1</t>
  </si>
  <si>
    <t>CF2</t>
  </si>
  <si>
    <t>Wg1'[kWh]</t>
  </si>
  <si>
    <t>Wg2'[kWh]</t>
  </si>
  <si>
    <t>Troskovi odrzavanja</t>
  </si>
  <si>
    <t>Pocetna investicija</t>
  </si>
  <si>
    <t>Rok otplate</t>
  </si>
  <si>
    <t>Kamatna stopa</t>
  </si>
  <si>
    <t>Snaga elektrane[kW]</t>
  </si>
  <si>
    <t>Investicioni troskovi[KM/kW]</t>
  </si>
  <si>
    <t>Godisnji trosak odrzavanja</t>
  </si>
  <si>
    <t>Rata kredita</t>
  </si>
  <si>
    <t>Rashodi</t>
  </si>
  <si>
    <t>Godisnja proizvodnja energije[kWh]</t>
  </si>
  <si>
    <t>LCOE</t>
  </si>
</sst>
</file>

<file path=xl/styles.xml><?xml version="1.0" encoding="utf-8"?>
<styleSheet xmlns="http://schemas.openxmlformats.org/spreadsheetml/2006/main">
  <numFmts count="2">
    <numFmt numFmtId="8" formatCode="#,##0.00\ &quot;KM&quot;;[Red]\-#,##0.00\ &quot;KM&quot;"/>
    <numFmt numFmtId="164" formatCode="#,##0.0000\ &quot;KM&quot;;[Red]\-#,##0.0000\ &quot;KM&quot;"/>
  </numFmts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10" fontId="0" fillId="0" borderId="0" xfId="0" applyNumberFormat="1"/>
    <xf numFmtId="8" fontId="0" fillId="0" borderId="0" xfId="0" applyNumberFormat="1"/>
    <xf numFmtId="0" fontId="1" fillId="2" borderId="0" xfId="0" applyFont="1" applyFill="1"/>
    <xf numFmtId="164" fontId="0" fillId="3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opLeftCell="A3" workbookViewId="0">
      <selection activeCell="G10" sqref="G10"/>
    </sheetView>
  </sheetViews>
  <sheetFormatPr defaultRowHeight="15"/>
  <cols>
    <col min="2" max="2" width="10.140625" customWidth="1"/>
    <col min="3" max="3" width="10.5703125" bestFit="1" customWidth="1"/>
    <col min="7" max="8" width="12.42578125" bestFit="1" customWidth="1"/>
    <col min="10" max="10" width="11.140625" bestFit="1" customWidth="1"/>
    <col min="11" max="11" width="14.28515625" bestFit="1" customWidth="1"/>
    <col min="12" max="12" width="19.140625" bestFit="1" customWidth="1"/>
    <col min="13" max="13" width="18.7109375" bestFit="1" customWidth="1"/>
    <col min="17" max="17" width="10.28515625" bestFit="1" customWidth="1"/>
  </cols>
  <sheetData>
    <row r="1" spans="1:18">
      <c r="A1" s="7" t="s">
        <v>0</v>
      </c>
      <c r="B1" s="7"/>
      <c r="C1" s="1" t="s">
        <v>6</v>
      </c>
      <c r="D1" s="1" t="s">
        <v>7</v>
      </c>
      <c r="E1" t="s">
        <v>14</v>
      </c>
      <c r="F1" t="s">
        <v>15</v>
      </c>
      <c r="Q1" t="s">
        <v>9</v>
      </c>
      <c r="R1">
        <v>6</v>
      </c>
    </row>
    <row r="2" spans="1:18">
      <c r="A2" s="7" t="s">
        <v>1</v>
      </c>
      <c r="B2" s="7"/>
      <c r="C2" s="1">
        <v>1000</v>
      </c>
      <c r="D2" s="1">
        <v>1300</v>
      </c>
      <c r="Q2" t="s">
        <v>10</v>
      </c>
      <c r="R2">
        <v>8</v>
      </c>
    </row>
    <row r="3" spans="1:18">
      <c r="A3" s="7" t="s">
        <v>2</v>
      </c>
      <c r="B3" s="7"/>
      <c r="C3" s="1">
        <v>54</v>
      </c>
      <c r="D3" s="1">
        <v>60</v>
      </c>
      <c r="Q3" t="s">
        <v>11</v>
      </c>
      <c r="R3">
        <f>R1*2/SQRT(3.14)</f>
        <v>6.7719917757972041</v>
      </c>
    </row>
    <row r="4" spans="1:18">
      <c r="A4" s="7" t="s">
        <v>3</v>
      </c>
      <c r="B4" s="7"/>
      <c r="C4" s="1"/>
      <c r="D4" s="1"/>
      <c r="Q4" t="s">
        <v>12</v>
      </c>
      <c r="R4">
        <f>2*R2/SQRT(3.14)</f>
        <v>9.0293223677296055</v>
      </c>
    </row>
    <row r="5" spans="1:18">
      <c r="A5" s="1" t="s">
        <v>4</v>
      </c>
      <c r="B5" s="1" t="s">
        <v>5</v>
      </c>
      <c r="C5" s="1" t="s">
        <v>8</v>
      </c>
      <c r="D5" s="1" t="s">
        <v>8</v>
      </c>
      <c r="G5" s="1" t="s">
        <v>17</v>
      </c>
      <c r="H5" s="1" t="s">
        <v>16</v>
      </c>
      <c r="Q5" t="s">
        <v>13</v>
      </c>
      <c r="R5">
        <v>2</v>
      </c>
    </row>
    <row r="6" spans="1:18">
      <c r="A6">
        <v>0</v>
      </c>
      <c r="C6">
        <v>0</v>
      </c>
      <c r="D6">
        <v>0</v>
      </c>
      <c r="E6">
        <f>WEIBULL(A6,$R$5,$R$3,FALSE)</f>
        <v>0</v>
      </c>
      <c r="F6">
        <f>WEIBULL(A6,$R$5,$R$4,FALSE)</f>
        <v>0</v>
      </c>
      <c r="G6">
        <f>C6*E6*8760</f>
        <v>0</v>
      </c>
      <c r="H6">
        <f>D6*F6*8760</f>
        <v>0</v>
      </c>
      <c r="Q6" s="2" t="s">
        <v>18</v>
      </c>
      <c r="R6" s="2">
        <f>SUM(G6:G32)</f>
        <v>1666699.8018368986</v>
      </c>
    </row>
    <row r="7" spans="1:18">
      <c r="A7">
        <v>1</v>
      </c>
      <c r="C7">
        <v>0</v>
      </c>
      <c r="D7">
        <v>0</v>
      </c>
      <c r="E7">
        <f t="shared" ref="E7:E32" si="0">WEIBULL(A7,$R$5,$R$3,FALSE)</f>
        <v>4.2670439807536938E-2</v>
      </c>
      <c r="F7">
        <f t="shared" ref="F7:F32" si="1">WEIBULL(A7,$R$5,$R$4,FALSE)</f>
        <v>2.4232196673955833E-2</v>
      </c>
      <c r="G7">
        <f t="shared" ref="G7:G32" si="2">C7*E7*8760</f>
        <v>0</v>
      </c>
      <c r="H7">
        <f t="shared" ref="H7:H32" si="3">D7*F7*8760</f>
        <v>0</v>
      </c>
      <c r="Q7" s="2" t="s">
        <v>19</v>
      </c>
      <c r="R7" s="2">
        <f>SUM(H6:H32)</f>
        <v>4128647.9666178599</v>
      </c>
    </row>
    <row r="8" spans="1:18">
      <c r="A8">
        <v>2</v>
      </c>
      <c r="C8">
        <v>0</v>
      </c>
      <c r="D8">
        <v>0</v>
      </c>
      <c r="E8">
        <f t="shared" si="0"/>
        <v>7.9936847623524196E-2</v>
      </c>
      <c r="F8">
        <f t="shared" si="1"/>
        <v>4.6713466992906717E-2</v>
      </c>
      <c r="G8">
        <f t="shared" si="2"/>
        <v>0</v>
      </c>
      <c r="H8">
        <f t="shared" si="3"/>
        <v>0</v>
      </c>
      <c r="Q8" t="s">
        <v>20</v>
      </c>
      <c r="R8">
        <f>0.087*R1-C2/C3^2</f>
        <v>0.1790644718792867</v>
      </c>
    </row>
    <row r="9" spans="1:18">
      <c r="A9">
        <v>3</v>
      </c>
      <c r="C9">
        <v>0</v>
      </c>
      <c r="D9">
        <v>0</v>
      </c>
      <c r="E9">
        <f t="shared" si="0"/>
        <v>0.10751971741410472</v>
      </c>
      <c r="F9">
        <f t="shared" si="1"/>
        <v>6.5902045379420779E-2</v>
      </c>
      <c r="G9">
        <f t="shared" si="2"/>
        <v>0</v>
      </c>
      <c r="H9">
        <f t="shared" si="3"/>
        <v>0</v>
      </c>
      <c r="Q9" t="s">
        <v>21</v>
      </c>
      <c r="R9">
        <f>0.087*R2-D2/D3^2</f>
        <v>0.33488888888888885</v>
      </c>
    </row>
    <row r="10" spans="1:18">
      <c r="A10">
        <v>4</v>
      </c>
      <c r="C10">
        <v>10</v>
      </c>
      <c r="D10">
        <v>25</v>
      </c>
      <c r="E10">
        <f t="shared" si="0"/>
        <v>0.12306558591922488</v>
      </c>
      <c r="F10">
        <f t="shared" si="1"/>
        <v>8.063978806057856E-2</v>
      </c>
      <c r="G10">
        <f t="shared" si="2"/>
        <v>10780.545326524099</v>
      </c>
      <c r="H10">
        <f t="shared" si="3"/>
        <v>17660.113585266703</v>
      </c>
      <c r="Q10" s="2" t="s">
        <v>22</v>
      </c>
      <c r="R10" s="2">
        <f>C2*R8*8760</f>
        <v>1568604.7736625515</v>
      </c>
    </row>
    <row r="11" spans="1:18">
      <c r="A11">
        <v>5</v>
      </c>
      <c r="C11">
        <v>51</v>
      </c>
      <c r="D11">
        <v>78</v>
      </c>
      <c r="E11">
        <f t="shared" si="0"/>
        <v>0.12642016262518738</v>
      </c>
      <c r="F11">
        <f t="shared" si="1"/>
        <v>9.0264577021743009E-2</v>
      </c>
      <c r="G11">
        <f t="shared" si="2"/>
        <v>56479.47185442871</v>
      </c>
      <c r="H11">
        <f t="shared" si="3"/>
        <v>61675.980187416557</v>
      </c>
      <c r="Q11" s="2" t="s">
        <v>23</v>
      </c>
      <c r="R11" s="2">
        <f>D2*R9*8760</f>
        <v>3813714.666666666</v>
      </c>
    </row>
    <row r="12" spans="1:18">
      <c r="A12">
        <v>6</v>
      </c>
      <c r="C12">
        <v>104</v>
      </c>
      <c r="D12">
        <v>150</v>
      </c>
      <c r="E12">
        <f t="shared" si="0"/>
        <v>0.1193513219672423</v>
      </c>
      <c r="F12">
        <f t="shared" si="1"/>
        <v>9.4646110585384399E-2</v>
      </c>
      <c r="G12">
        <f t="shared" si="2"/>
        <v>108733.82836503642</v>
      </c>
      <c r="H12">
        <f t="shared" si="3"/>
        <v>124364.98930919511</v>
      </c>
    </row>
    <row r="13" spans="1:18">
      <c r="A13">
        <v>7</v>
      </c>
      <c r="C13">
        <v>186</v>
      </c>
      <c r="D13">
        <v>234</v>
      </c>
      <c r="E13">
        <f t="shared" si="0"/>
        <v>0.10487297823210275</v>
      </c>
      <c r="F13">
        <f t="shared" si="1"/>
        <v>9.4145582956080623E-2</v>
      </c>
      <c r="G13">
        <f t="shared" si="2"/>
        <v>170875.83581225891</v>
      </c>
      <c r="H13">
        <f t="shared" si="3"/>
        <v>192983.38176669233</v>
      </c>
    </row>
    <row r="14" spans="1:18">
      <c r="A14">
        <v>8</v>
      </c>
      <c r="C14">
        <v>291</v>
      </c>
      <c r="D14">
        <v>381</v>
      </c>
      <c r="E14">
        <f t="shared" si="0"/>
        <v>8.6418169255483984E-2</v>
      </c>
      <c r="F14">
        <f t="shared" si="1"/>
        <v>8.9513491475431722E-2</v>
      </c>
      <c r="G14">
        <f t="shared" si="2"/>
        <v>220293.74033930956</v>
      </c>
      <c r="H14">
        <f t="shared" si="3"/>
        <v>298756.64860874193</v>
      </c>
    </row>
    <row r="15" spans="1:18">
      <c r="A15">
        <v>9</v>
      </c>
      <c r="C15">
        <v>412</v>
      </c>
      <c r="D15">
        <v>557</v>
      </c>
      <c r="E15">
        <f t="shared" si="0"/>
        <v>6.7106877649178179E-2</v>
      </c>
      <c r="F15">
        <f t="shared" si="1"/>
        <v>8.1749260782362998E-2</v>
      </c>
      <c r="G15">
        <f t="shared" si="2"/>
        <v>242196.77426120194</v>
      </c>
      <c r="H15">
        <f t="shared" si="3"/>
        <v>398880.80312059942</v>
      </c>
    </row>
    <row r="16" spans="1:18">
      <c r="A16">
        <v>10</v>
      </c>
      <c r="C16">
        <v>529</v>
      </c>
      <c r="D16">
        <v>752</v>
      </c>
      <c r="E16">
        <f t="shared" si="0"/>
        <v>4.927128698709031E-2</v>
      </c>
      <c r="F16">
        <f t="shared" si="1"/>
        <v>7.1949926225626959E-2</v>
      </c>
      <c r="G16">
        <f t="shared" si="2"/>
        <v>228325.11474965597</v>
      </c>
      <c r="H16">
        <f t="shared" si="3"/>
        <v>473971.57800984214</v>
      </c>
    </row>
    <row r="17" spans="1:8">
      <c r="A17">
        <v>11</v>
      </c>
      <c r="C17">
        <v>655</v>
      </c>
      <c r="D17">
        <v>926</v>
      </c>
      <c r="E17">
        <f t="shared" si="0"/>
        <v>3.4285928098119749E-2</v>
      </c>
      <c r="F17">
        <f t="shared" si="1"/>
        <v>6.117278877490985E-2</v>
      </c>
      <c r="G17">
        <f t="shared" si="2"/>
        <v>196725.79824139149</v>
      </c>
      <c r="H17">
        <f t="shared" si="3"/>
        <v>496218.98107276269</v>
      </c>
    </row>
    <row r="18" spans="1:8">
      <c r="A18">
        <v>12</v>
      </c>
      <c r="C18">
        <v>794</v>
      </c>
      <c r="D18">
        <v>1050</v>
      </c>
      <c r="E18">
        <f t="shared" si="0"/>
        <v>2.2651330902028834E-2</v>
      </c>
      <c r="F18">
        <f t="shared" si="1"/>
        <v>5.0330158236883644E-2</v>
      </c>
      <c r="G18">
        <f t="shared" si="2"/>
        <v>157549.97300920743</v>
      </c>
      <c r="H18">
        <f t="shared" si="3"/>
        <v>462936.79546285578</v>
      </c>
    </row>
    <row r="19" spans="1:8">
      <c r="A19">
        <v>13</v>
      </c>
      <c r="C19">
        <v>911</v>
      </c>
      <c r="D19">
        <v>1159</v>
      </c>
      <c r="E19">
        <f t="shared" si="0"/>
        <v>1.4226727709063079E-2</v>
      </c>
      <c r="F19">
        <f t="shared" si="1"/>
        <v>4.0125279511484362E-2</v>
      </c>
      <c r="G19">
        <f t="shared" si="2"/>
        <v>113534.40874029863</v>
      </c>
      <c r="H19">
        <f t="shared" si="3"/>
        <v>407385.5428353789</v>
      </c>
    </row>
    <row r="20" spans="1:8">
      <c r="A20">
        <v>14</v>
      </c>
      <c r="C20">
        <v>986</v>
      </c>
      <c r="D20">
        <v>1249</v>
      </c>
      <c r="E20">
        <f t="shared" si="0"/>
        <v>8.5035217448572748E-3</v>
      </c>
      <c r="F20">
        <f t="shared" si="1"/>
        <v>3.1029632797424059E-2</v>
      </c>
      <c r="G20">
        <f t="shared" si="2"/>
        <v>73447.97857816043</v>
      </c>
      <c r="H20">
        <f t="shared" si="3"/>
        <v>339502.65954848804</v>
      </c>
    </row>
    <row r="21" spans="1:8">
      <c r="A21">
        <v>15</v>
      </c>
      <c r="C21">
        <v>1006</v>
      </c>
      <c r="D21">
        <v>1301</v>
      </c>
      <c r="E21">
        <f t="shared" si="0"/>
        <v>4.8409557052022222E-3</v>
      </c>
      <c r="F21">
        <f t="shared" si="1"/>
        <v>2.3294851979757079E-2</v>
      </c>
      <c r="G21">
        <f t="shared" si="2"/>
        <v>42661.212609436894</v>
      </c>
      <c r="H21">
        <f t="shared" si="3"/>
        <v>265485.83724881627</v>
      </c>
    </row>
    <row r="22" spans="1:8">
      <c r="A22">
        <v>16</v>
      </c>
      <c r="C22">
        <v>998</v>
      </c>
      <c r="D22">
        <v>1306</v>
      </c>
      <c r="E22">
        <f t="shared" si="0"/>
        <v>2.6265690738973041E-3</v>
      </c>
      <c r="F22">
        <f t="shared" si="1"/>
        <v>1.6988498176521628E-2</v>
      </c>
      <c r="G22">
        <f t="shared" si="2"/>
        <v>22962.727597165704</v>
      </c>
      <c r="H22">
        <f t="shared" si="3"/>
        <v>194357.93269838628</v>
      </c>
    </row>
    <row r="23" spans="1:8">
      <c r="A23">
        <v>17</v>
      </c>
      <c r="C23">
        <v>984</v>
      </c>
      <c r="D23">
        <v>1292</v>
      </c>
      <c r="E23">
        <f t="shared" si="0"/>
        <v>1.3589600639499211E-3</v>
      </c>
      <c r="F23">
        <f t="shared" si="1"/>
        <v>1.2041939729900397E-2</v>
      </c>
      <c r="G23">
        <f t="shared" si="2"/>
        <v>11714.018317638087</v>
      </c>
      <c r="H23">
        <f t="shared" si="3"/>
        <v>136289.7105078343</v>
      </c>
    </row>
    <row r="24" spans="1:8">
      <c r="A24">
        <v>18</v>
      </c>
      <c r="C24">
        <v>971</v>
      </c>
      <c r="D24">
        <v>1283</v>
      </c>
      <c r="E24">
        <f t="shared" si="0"/>
        <v>6.707785124839907E-4</v>
      </c>
      <c r="F24">
        <f t="shared" si="1"/>
        <v>8.30001293204332E-3</v>
      </c>
      <c r="G24">
        <f t="shared" si="2"/>
        <v>5705.6151960483257</v>
      </c>
      <c r="H24">
        <f t="shared" si="3"/>
        <v>93284.509344269434</v>
      </c>
    </row>
    <row r="25" spans="1:8">
      <c r="A25">
        <v>19</v>
      </c>
      <c r="C25">
        <v>960</v>
      </c>
      <c r="D25">
        <v>1282</v>
      </c>
      <c r="E25">
        <f t="shared" si="0"/>
        <v>3.1598687012276581E-4</v>
      </c>
      <c r="F25">
        <f t="shared" si="1"/>
        <v>5.5649954613081363E-3</v>
      </c>
      <c r="G25">
        <f t="shared" si="2"/>
        <v>2657.3231829844112</v>
      </c>
      <c r="H25">
        <f t="shared" si="3"/>
        <v>62496.679829037996</v>
      </c>
    </row>
    <row r="26" spans="1:8">
      <c r="A26">
        <v>20</v>
      </c>
      <c r="C26">
        <v>962</v>
      </c>
      <c r="D26">
        <v>1288</v>
      </c>
      <c r="E26">
        <f t="shared" si="0"/>
        <v>1.4210657300131298E-4</v>
      </c>
      <c r="F26">
        <f t="shared" si="1"/>
        <v>3.630716778901668E-3</v>
      </c>
      <c r="G26">
        <f t="shared" si="2"/>
        <v>1197.5491434708247</v>
      </c>
      <c r="H26">
        <f t="shared" si="3"/>
        <v>40964.941730334052</v>
      </c>
    </row>
    <row r="27" spans="1:8">
      <c r="A27">
        <v>21</v>
      </c>
      <c r="C27">
        <v>967</v>
      </c>
      <c r="D27">
        <v>1292</v>
      </c>
      <c r="E27">
        <f t="shared" si="0"/>
        <v>6.1028421176482781E-5</v>
      </c>
      <c r="F27">
        <f t="shared" si="1"/>
        <v>2.3055739040826278E-3</v>
      </c>
      <c r="G27">
        <f t="shared" si="2"/>
        <v>516.9668735122915</v>
      </c>
      <c r="H27">
        <f t="shared" si="3"/>
        <v>26094.301000494856</v>
      </c>
    </row>
    <row r="28" spans="1:8">
      <c r="A28">
        <v>22</v>
      </c>
      <c r="C28">
        <v>974</v>
      </c>
      <c r="D28">
        <v>1300</v>
      </c>
      <c r="E28">
        <f t="shared" si="0"/>
        <v>2.5033647083969692E-5</v>
      </c>
      <c r="F28">
        <f t="shared" si="1"/>
        <v>1.4253647820158791E-3</v>
      </c>
      <c r="G28">
        <f t="shared" si="2"/>
        <v>213.59308499572958</v>
      </c>
      <c r="H28">
        <f t="shared" si="3"/>
        <v>16232.054137596831</v>
      </c>
    </row>
    <row r="29" spans="1:8">
      <c r="A29">
        <v>23</v>
      </c>
      <c r="C29">
        <v>980</v>
      </c>
      <c r="D29">
        <v>1313</v>
      </c>
      <c r="E29">
        <f t="shared" si="0"/>
        <v>9.810199069790521E-6</v>
      </c>
      <c r="F29">
        <f t="shared" si="1"/>
        <v>8.5806657086078496E-4</v>
      </c>
      <c r="G29">
        <f t="shared" si="2"/>
        <v>84.218596974337657</v>
      </c>
      <c r="H29">
        <f t="shared" si="3"/>
        <v>9869.3787300522454</v>
      </c>
    </row>
    <row r="30" spans="1:8">
      <c r="A30">
        <v>24</v>
      </c>
      <c r="C30">
        <v>985</v>
      </c>
      <c r="D30">
        <v>1328</v>
      </c>
      <c r="E30">
        <f t="shared" si="0"/>
        <v>3.673412509799806E-6</v>
      </c>
      <c r="F30">
        <f t="shared" si="1"/>
        <v>5.0308388436299341E-4</v>
      </c>
      <c r="G30">
        <f t="shared" si="2"/>
        <v>31.696407182058607</v>
      </c>
      <c r="H30">
        <f t="shared" si="3"/>
        <v>5852.5156902823246</v>
      </c>
    </row>
    <row r="31" spans="1:8">
      <c r="A31">
        <v>25</v>
      </c>
      <c r="C31">
        <v>991</v>
      </c>
      <c r="D31">
        <v>1344</v>
      </c>
      <c r="E31">
        <f t="shared" si="0"/>
        <v>1.3145190292689967E-6</v>
      </c>
      <c r="F31">
        <f t="shared" si="1"/>
        <v>2.8731043718024512E-4</v>
      </c>
      <c r="G31">
        <f t="shared" si="2"/>
        <v>11.411550016128842</v>
      </c>
      <c r="H31">
        <f t="shared" si="3"/>
        <v>3382.6321935153851</v>
      </c>
    </row>
    <row r="32" spans="1:8">
      <c r="A32">
        <v>26</v>
      </c>
      <c r="C32">
        <v>0</v>
      </c>
      <c r="D32">
        <v>0</v>
      </c>
      <c r="E32">
        <f t="shared" si="0"/>
        <v>4.4960233870702281E-7</v>
      </c>
      <c r="F32">
        <f t="shared" si="1"/>
        <v>1.5985020084852608E-4</v>
      </c>
      <c r="G32">
        <f t="shared" si="2"/>
        <v>0</v>
      </c>
      <c r="H32">
        <f t="shared" si="3"/>
        <v>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C11" sqref="C11"/>
    </sheetView>
  </sheetViews>
  <sheetFormatPr defaultRowHeight="15"/>
  <cols>
    <col min="1" max="1" width="34" bestFit="1" customWidth="1"/>
    <col min="2" max="3" width="13.5703125" bestFit="1" customWidth="1"/>
  </cols>
  <sheetData>
    <row r="1" spans="1:3">
      <c r="A1" s="5" t="s">
        <v>28</v>
      </c>
      <c r="B1">
        <v>1000</v>
      </c>
      <c r="C1">
        <v>1300</v>
      </c>
    </row>
    <row r="2" spans="1:3">
      <c r="A2" s="5" t="s">
        <v>29</v>
      </c>
      <c r="B2">
        <v>3500</v>
      </c>
      <c r="C2">
        <v>3500</v>
      </c>
    </row>
    <row r="3" spans="1:3">
      <c r="A3" s="5" t="s">
        <v>24</v>
      </c>
      <c r="B3" s="3">
        <v>0.01</v>
      </c>
      <c r="C3" s="3">
        <v>0.01</v>
      </c>
    </row>
    <row r="4" spans="1:3">
      <c r="A4" s="5" t="s">
        <v>25</v>
      </c>
      <c r="B4">
        <f>B1*B2</f>
        <v>3500000</v>
      </c>
      <c r="C4">
        <f>C1*C2</f>
        <v>4550000</v>
      </c>
    </row>
    <row r="5" spans="1:3">
      <c r="A5" s="5" t="s">
        <v>26</v>
      </c>
      <c r="B5">
        <v>25</v>
      </c>
      <c r="C5">
        <v>25</v>
      </c>
    </row>
    <row r="6" spans="1:3">
      <c r="A6" s="5" t="s">
        <v>27</v>
      </c>
      <c r="B6" s="3">
        <v>6.8000000000000005E-2</v>
      </c>
      <c r="C6" s="3">
        <v>6.8000000000000005E-2</v>
      </c>
    </row>
    <row r="7" spans="1:3">
      <c r="A7" s="5" t="s">
        <v>30</v>
      </c>
      <c r="B7">
        <f>B3*B4</f>
        <v>35000</v>
      </c>
      <c r="C7">
        <f>C3*C4</f>
        <v>45500</v>
      </c>
    </row>
    <row r="8" spans="1:3">
      <c r="A8" s="5" t="s">
        <v>31</v>
      </c>
      <c r="B8" s="4">
        <f>-PMT(B6,B5,B4)</f>
        <v>294945.67007346172</v>
      </c>
      <c r="C8" s="4">
        <f>-PMT(C6,C5,C4)</f>
        <v>383429.37109550025</v>
      </c>
    </row>
    <row r="9" spans="1:3">
      <c r="A9" s="5" t="s">
        <v>32</v>
      </c>
      <c r="B9" s="4">
        <f>B8+B7</f>
        <v>329945.67007346172</v>
      </c>
      <c r="C9" s="4">
        <f>C7+C8</f>
        <v>428929.37109550025</v>
      </c>
    </row>
    <row r="10" spans="1:3">
      <c r="A10" s="5" t="s">
        <v>33</v>
      </c>
      <c r="B10">
        <v>1666700</v>
      </c>
      <c r="C10">
        <v>4128648</v>
      </c>
    </row>
    <row r="11" spans="1:3">
      <c r="A11" s="5" t="s">
        <v>34</v>
      </c>
      <c r="B11" s="6">
        <f>B9/B10</f>
        <v>0.19796344277522152</v>
      </c>
      <c r="C11" s="6">
        <f>C9/C10</f>
        <v>0.10389100041841791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2020-07-07T19:12:33Z</dcterms:created>
  <dcterms:modified xsi:type="dcterms:W3CDTF">2020-07-08T17:50:33Z</dcterms:modified>
</cp:coreProperties>
</file>