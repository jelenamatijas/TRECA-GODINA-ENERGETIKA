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I2" i="1"/>
  <c r="J2" s="1"/>
  <c r="B10"/>
  <c r="I13" s="1"/>
  <c r="N13" s="1"/>
  <c r="L18"/>
  <c r="M18"/>
  <c r="K18"/>
  <c r="M3"/>
  <c r="M4"/>
  <c r="M5"/>
  <c r="M6"/>
  <c r="M7"/>
  <c r="M8"/>
  <c r="M9"/>
  <c r="M10"/>
  <c r="M11"/>
  <c r="M12"/>
  <c r="M13"/>
  <c r="M14"/>
  <c r="M15"/>
  <c r="M16"/>
  <c r="M2"/>
  <c r="L3"/>
  <c r="L4"/>
  <c r="L5"/>
  <c r="L6"/>
  <c r="L7"/>
  <c r="L8"/>
  <c r="L9"/>
  <c r="L10"/>
  <c r="L11"/>
  <c r="L12"/>
  <c r="L13"/>
  <c r="L14"/>
  <c r="L15"/>
  <c r="L16"/>
  <c r="L2"/>
  <c r="K3"/>
  <c r="K4"/>
  <c r="K5"/>
  <c r="K6"/>
  <c r="K7"/>
  <c r="K8"/>
  <c r="K9"/>
  <c r="K10"/>
  <c r="K11"/>
  <c r="K12"/>
  <c r="K13"/>
  <c r="K14"/>
  <c r="K15"/>
  <c r="K16"/>
  <c r="K2"/>
  <c r="I6"/>
  <c r="N6" s="1"/>
  <c r="I14"/>
  <c r="N14" s="1"/>
  <c r="H2"/>
  <c r="B9"/>
  <c r="N2" l="1"/>
  <c r="I4"/>
  <c r="N4" s="1"/>
  <c r="I9"/>
  <c r="N9" s="1"/>
  <c r="I8"/>
  <c r="N8" s="1"/>
  <c r="I5"/>
  <c r="N5" s="1"/>
  <c r="I10"/>
  <c r="N10" s="1"/>
  <c r="I3"/>
  <c r="N3" s="1"/>
  <c r="I15"/>
  <c r="N15" s="1"/>
  <c r="I11"/>
  <c r="N11" s="1"/>
  <c r="I7"/>
  <c r="N7" s="1"/>
  <c r="I16"/>
  <c r="N16" s="1"/>
  <c r="I12"/>
  <c r="N12" s="1"/>
  <c r="G3"/>
  <c r="N18" l="1"/>
  <c r="I18"/>
  <c r="H3"/>
  <c r="J3" l="1"/>
  <c r="G4" l="1"/>
  <c r="H4" l="1"/>
  <c r="J4" l="1"/>
  <c r="G5" l="1"/>
  <c r="H5" l="1"/>
  <c r="J5" l="1"/>
  <c r="G6" l="1"/>
  <c r="H6" l="1"/>
  <c r="J6" l="1"/>
  <c r="G7" s="1"/>
  <c r="H7" l="1"/>
  <c r="J7" l="1"/>
  <c r="G8" s="1"/>
  <c r="H8" l="1"/>
  <c r="J8" s="1"/>
  <c r="G9" s="1"/>
  <c r="H9" l="1"/>
  <c r="J9" s="1"/>
  <c r="G10" s="1"/>
  <c r="H10" l="1"/>
  <c r="J10" s="1"/>
  <c r="G11" s="1"/>
  <c r="H11" l="1"/>
  <c r="J11" s="1"/>
  <c r="G12" s="1"/>
  <c r="H12" l="1"/>
  <c r="J12" s="1"/>
  <c r="G13" s="1"/>
  <c r="H13" l="1"/>
  <c r="J13" s="1"/>
  <c r="G14" s="1"/>
  <c r="H14" l="1"/>
  <c r="J14" s="1"/>
  <c r="G15" s="1"/>
  <c r="H15" l="1"/>
  <c r="J15" s="1"/>
  <c r="G16" s="1"/>
  <c r="H16" l="1"/>
  <c r="J16" l="1"/>
  <c r="H18"/>
  <c r="J18" l="1"/>
  <c r="G17"/>
  <c r="H17" s="1"/>
</calcChain>
</file>

<file path=xl/sharedStrings.xml><?xml version="1.0" encoding="utf-8"?>
<sst xmlns="http://schemas.openxmlformats.org/spreadsheetml/2006/main" count="24" uniqueCount="22">
  <si>
    <t>Kapitalni troškovi</t>
  </si>
  <si>
    <t>Snaga agregata</t>
  </si>
  <si>
    <t>Troškovi održavanja</t>
  </si>
  <si>
    <t>Kamata</t>
  </si>
  <si>
    <t>Faktor opterećenja agregata</t>
  </si>
  <si>
    <t>Broj godina</t>
  </si>
  <si>
    <t>Cijena energije</t>
  </si>
  <si>
    <t>KM/MW</t>
  </si>
  <si>
    <t>MW</t>
  </si>
  <si>
    <t>KM</t>
  </si>
  <si>
    <t>KM/kWh</t>
  </si>
  <si>
    <t>Troškovi investicije</t>
  </si>
  <si>
    <t>Rata kredita</t>
  </si>
  <si>
    <t>Godina</t>
  </si>
  <si>
    <t>Dug</t>
  </si>
  <si>
    <t>Rata</t>
  </si>
  <si>
    <t>Otplata</t>
  </si>
  <si>
    <t>Održavanje</t>
  </si>
  <si>
    <t>Proizvodnja u kWh</t>
  </si>
  <si>
    <t>Prihod</t>
  </si>
  <si>
    <t>Zarada</t>
  </si>
  <si>
    <t>SUME</t>
  </si>
</sst>
</file>

<file path=xl/styles.xml><?xml version="1.0" encoding="utf-8"?>
<styleSheet xmlns="http://schemas.openxmlformats.org/spreadsheetml/2006/main">
  <numFmts count="1">
    <numFmt numFmtId="8" formatCode="#,##0.00\ &quot;KM&quot;;[Red]\-#,##0.00\ &quot;KM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  <xf numFmtId="2" fontId="0" fillId="3" borderId="0" xfId="0" applyNumberFormat="1" applyFill="1"/>
    <xf numFmtId="2" fontId="0" fillId="4" borderId="0" xfId="0" applyNumberFormat="1" applyFill="1"/>
    <xf numFmtId="0" fontId="0" fillId="4" borderId="0" xfId="0" applyFill="1"/>
    <xf numFmtId="4" fontId="0" fillId="3" borderId="0" xfId="0" applyNumberFormat="1" applyFill="1"/>
    <xf numFmtId="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tabSelected="1" workbookViewId="0">
      <selection activeCell="E15" sqref="E15"/>
    </sheetView>
  </sheetViews>
  <sheetFormatPr defaultRowHeight="15"/>
  <cols>
    <col min="1" max="1" width="26.140625" customWidth="1"/>
    <col min="2" max="2" width="14.42578125" customWidth="1"/>
    <col min="7" max="7" width="15.140625" bestFit="1" customWidth="1"/>
    <col min="8" max="10" width="13.5703125" bestFit="1" customWidth="1"/>
    <col min="11" max="11" width="11" customWidth="1"/>
    <col min="12" max="12" width="17.28515625" customWidth="1"/>
    <col min="14" max="14" width="9.5703125" bestFit="1" customWidth="1"/>
  </cols>
  <sheetData>
    <row r="1" spans="1:14">
      <c r="F1" s="1" t="s">
        <v>13</v>
      </c>
      <c r="G1" s="1" t="s">
        <v>14</v>
      </c>
      <c r="H1" s="1" t="s">
        <v>3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>
      <c r="A2" s="1" t="s">
        <v>0</v>
      </c>
      <c r="B2" s="7">
        <v>2500000</v>
      </c>
      <c r="C2" s="3" t="s">
        <v>7</v>
      </c>
      <c r="F2" s="3">
        <v>1</v>
      </c>
      <c r="G2" s="4">
        <v>5000000</v>
      </c>
      <c r="H2" s="4">
        <f>$B$5*G2</f>
        <v>300000</v>
      </c>
      <c r="I2" s="4">
        <f>$B$10</f>
        <v>514813.81977656309</v>
      </c>
      <c r="J2" s="4">
        <f>I2-H2</f>
        <v>214813.81977656309</v>
      </c>
      <c r="K2" s="3">
        <f>$B$4</f>
        <v>100000</v>
      </c>
      <c r="L2" s="3">
        <f>$B$3*1000*$B$6*8760</f>
        <v>5256000</v>
      </c>
      <c r="M2" s="3">
        <f>L2*$B$8</f>
        <v>868291.20000000007</v>
      </c>
      <c r="N2" s="4">
        <f>M2-K2-I2</f>
        <v>253477.38022343698</v>
      </c>
    </row>
    <row r="3" spans="1:14">
      <c r="A3" s="1" t="s">
        <v>1</v>
      </c>
      <c r="B3" s="3">
        <v>2</v>
      </c>
      <c r="C3" s="3" t="s">
        <v>8</v>
      </c>
      <c r="F3" s="3">
        <v>2</v>
      </c>
      <c r="G3" s="4">
        <f>G2-J2</f>
        <v>4785186.180223437</v>
      </c>
      <c r="H3" s="4">
        <f>$B$5*G3</f>
        <v>287111.17081340624</v>
      </c>
      <c r="I3" s="4">
        <f>$B$10</f>
        <v>514813.81977656309</v>
      </c>
      <c r="J3" s="4">
        <f>I3-H3</f>
        <v>227702.64896315685</v>
      </c>
      <c r="K3" s="3">
        <f t="shared" ref="K3:K16" si="0">$B$4</f>
        <v>100000</v>
      </c>
      <c r="L3" s="3">
        <f t="shared" ref="L3:L16" si="1">$B$3*1000*$B$6*8760</f>
        <v>5256000</v>
      </c>
      <c r="M3" s="3">
        <f t="shared" ref="M3:M16" si="2">L3*$B$8</f>
        <v>868291.20000000007</v>
      </c>
      <c r="N3" s="4">
        <f t="shared" ref="N3:N16" si="3">M3-K3-I3</f>
        <v>253477.38022343698</v>
      </c>
    </row>
    <row r="4" spans="1:14">
      <c r="A4" s="1" t="s">
        <v>2</v>
      </c>
      <c r="B4" s="3">
        <v>100000</v>
      </c>
      <c r="C4" s="3" t="s">
        <v>9</v>
      </c>
      <c r="F4" s="3">
        <v>3</v>
      </c>
      <c r="G4" s="4">
        <f>G3-J3</f>
        <v>4557483.5312602799</v>
      </c>
      <c r="H4" s="4">
        <f>$B$5*G4</f>
        <v>273449.01187561679</v>
      </c>
      <c r="I4" s="4">
        <f t="shared" ref="I4:I16" si="4">$B$10</f>
        <v>514813.81977656309</v>
      </c>
      <c r="J4" s="4">
        <f>I4-H4</f>
        <v>241364.8079009463</v>
      </c>
      <c r="K4" s="3">
        <f t="shared" si="0"/>
        <v>100000</v>
      </c>
      <c r="L4" s="3">
        <f t="shared" si="1"/>
        <v>5256000</v>
      </c>
      <c r="M4" s="3">
        <f t="shared" si="2"/>
        <v>868291.20000000007</v>
      </c>
      <c r="N4" s="4">
        <f t="shared" si="3"/>
        <v>253477.38022343698</v>
      </c>
    </row>
    <row r="5" spans="1:14">
      <c r="A5" s="1" t="s">
        <v>3</v>
      </c>
      <c r="B5" s="3">
        <v>0.06</v>
      </c>
      <c r="C5" s="3"/>
      <c r="F5" s="3">
        <v>4</v>
      </c>
      <c r="G5" s="4">
        <f>G4-J4</f>
        <v>4316118.7233593334</v>
      </c>
      <c r="H5" s="4">
        <f>$B$5*G5</f>
        <v>258967.12340156001</v>
      </c>
      <c r="I5" s="4">
        <f t="shared" si="4"/>
        <v>514813.81977656309</v>
      </c>
      <c r="J5" s="4">
        <f>I5-H5</f>
        <v>255846.69637500308</v>
      </c>
      <c r="K5" s="3">
        <f t="shared" si="0"/>
        <v>100000</v>
      </c>
      <c r="L5" s="3">
        <f t="shared" si="1"/>
        <v>5256000</v>
      </c>
      <c r="M5" s="3">
        <f t="shared" si="2"/>
        <v>868291.20000000007</v>
      </c>
      <c r="N5" s="4">
        <f t="shared" si="3"/>
        <v>253477.38022343698</v>
      </c>
    </row>
    <row r="6" spans="1:14">
      <c r="A6" s="1" t="s">
        <v>4</v>
      </c>
      <c r="B6" s="3">
        <v>0.3</v>
      </c>
      <c r="C6" s="3"/>
      <c r="F6" s="3">
        <v>5</v>
      </c>
      <c r="G6" s="4">
        <f>G5-J5</f>
        <v>4060272.0269843303</v>
      </c>
      <c r="H6" s="4">
        <f>$B$5*G6</f>
        <v>243616.3216190598</v>
      </c>
      <c r="I6" s="4">
        <f t="shared" si="4"/>
        <v>514813.81977656309</v>
      </c>
      <c r="J6" s="4">
        <f>I6-H6</f>
        <v>271197.49815750332</v>
      </c>
      <c r="K6" s="3">
        <f t="shared" si="0"/>
        <v>100000</v>
      </c>
      <c r="L6" s="3">
        <f t="shared" si="1"/>
        <v>5256000</v>
      </c>
      <c r="M6" s="3">
        <f t="shared" si="2"/>
        <v>868291.20000000007</v>
      </c>
      <c r="N6" s="4">
        <f t="shared" si="3"/>
        <v>253477.38022343698</v>
      </c>
    </row>
    <row r="7" spans="1:14">
      <c r="A7" s="1" t="s">
        <v>5</v>
      </c>
      <c r="B7" s="4">
        <v>15</v>
      </c>
      <c r="C7" s="3"/>
      <c r="F7" s="3">
        <v>6</v>
      </c>
      <c r="G7" s="4">
        <f>G6-J6</f>
        <v>3789074.5288268272</v>
      </c>
      <c r="H7" s="4">
        <f>$B$5*G7</f>
        <v>227344.47172960962</v>
      </c>
      <c r="I7" s="4">
        <f t="shared" si="4"/>
        <v>514813.81977656309</v>
      </c>
      <c r="J7" s="4">
        <f>I7-H7</f>
        <v>287469.34804695344</v>
      </c>
      <c r="K7" s="3">
        <f t="shared" si="0"/>
        <v>100000</v>
      </c>
      <c r="L7" s="3">
        <f t="shared" si="1"/>
        <v>5256000</v>
      </c>
      <c r="M7" s="3">
        <f t="shared" si="2"/>
        <v>868291.20000000007</v>
      </c>
      <c r="N7" s="4">
        <f t="shared" si="3"/>
        <v>253477.38022343698</v>
      </c>
    </row>
    <row r="8" spans="1:14">
      <c r="A8" s="1" t="s">
        <v>6</v>
      </c>
      <c r="B8" s="3">
        <v>0.16520000000000001</v>
      </c>
      <c r="C8" s="3" t="s">
        <v>10</v>
      </c>
      <c r="F8" s="3">
        <v>7</v>
      </c>
      <c r="G8" s="4">
        <f>G7-J7</f>
        <v>3501605.1807798739</v>
      </c>
      <c r="H8" s="4">
        <f>$B$5*G8</f>
        <v>210096.31084679242</v>
      </c>
      <c r="I8" s="4">
        <f t="shared" si="4"/>
        <v>514813.81977656309</v>
      </c>
      <c r="J8" s="4">
        <f>I8-H8</f>
        <v>304717.50892977067</v>
      </c>
      <c r="K8" s="3">
        <f t="shared" si="0"/>
        <v>100000</v>
      </c>
      <c r="L8" s="3">
        <f t="shared" si="1"/>
        <v>5256000</v>
      </c>
      <c r="M8" s="3">
        <f t="shared" si="2"/>
        <v>868291.20000000007</v>
      </c>
      <c r="N8" s="4">
        <f t="shared" si="3"/>
        <v>253477.38022343698</v>
      </c>
    </row>
    <row r="9" spans="1:14">
      <c r="A9" s="1" t="s">
        <v>11</v>
      </c>
      <c r="B9" s="3">
        <f>$B$2*$B$3</f>
        <v>5000000</v>
      </c>
      <c r="C9" s="3" t="s">
        <v>9</v>
      </c>
      <c r="F9" s="3">
        <v>8</v>
      </c>
      <c r="G9" s="4">
        <f>G8-J8</f>
        <v>3196887.671850103</v>
      </c>
      <c r="H9" s="4">
        <f>$B$5*G9</f>
        <v>191813.26031100616</v>
      </c>
      <c r="I9" s="4">
        <f t="shared" si="4"/>
        <v>514813.81977656309</v>
      </c>
      <c r="J9" s="4">
        <f>I9-H9</f>
        <v>323000.55946555693</v>
      </c>
      <c r="K9" s="3">
        <f t="shared" si="0"/>
        <v>100000</v>
      </c>
      <c r="L9" s="3">
        <f t="shared" si="1"/>
        <v>5256000</v>
      </c>
      <c r="M9" s="3">
        <f t="shared" si="2"/>
        <v>868291.20000000007</v>
      </c>
      <c r="N9" s="4">
        <f t="shared" si="3"/>
        <v>253477.38022343698</v>
      </c>
    </row>
    <row r="10" spans="1:14">
      <c r="A10" s="1" t="s">
        <v>12</v>
      </c>
      <c r="B10" s="8">
        <f>-PMT($B$5,$B$7,$B$9)</f>
        <v>514813.81977656309</v>
      </c>
      <c r="C10" s="3"/>
      <c r="F10" s="3">
        <v>9</v>
      </c>
      <c r="G10" s="4">
        <f>G9-J9</f>
        <v>2873887.1123845461</v>
      </c>
      <c r="H10" s="4">
        <f>$B$5*G10</f>
        <v>172433.22674307277</v>
      </c>
      <c r="I10" s="4">
        <f t="shared" si="4"/>
        <v>514813.81977656309</v>
      </c>
      <c r="J10" s="4">
        <f>I10-H10</f>
        <v>342380.59303349035</v>
      </c>
      <c r="K10" s="3">
        <f t="shared" si="0"/>
        <v>100000</v>
      </c>
      <c r="L10" s="3">
        <f t="shared" si="1"/>
        <v>5256000</v>
      </c>
      <c r="M10" s="3">
        <f t="shared" si="2"/>
        <v>868291.20000000007</v>
      </c>
      <c r="N10" s="4">
        <f t="shared" si="3"/>
        <v>253477.38022343698</v>
      </c>
    </row>
    <row r="11" spans="1:14">
      <c r="F11" s="3">
        <v>10</v>
      </c>
      <c r="G11" s="4">
        <f>G10-J10</f>
        <v>2531506.5193510558</v>
      </c>
      <c r="H11" s="4">
        <f>$B$5*G11</f>
        <v>151890.39116106334</v>
      </c>
      <c r="I11" s="4">
        <f t="shared" si="4"/>
        <v>514813.81977656309</v>
      </c>
      <c r="J11" s="4">
        <f>I11-H11</f>
        <v>362923.42861549975</v>
      </c>
      <c r="K11" s="3">
        <f t="shared" si="0"/>
        <v>100000</v>
      </c>
      <c r="L11" s="3">
        <f t="shared" si="1"/>
        <v>5256000</v>
      </c>
      <c r="M11" s="3">
        <f t="shared" si="2"/>
        <v>868291.20000000007</v>
      </c>
      <c r="N11" s="4">
        <f t="shared" si="3"/>
        <v>253477.38022343698</v>
      </c>
    </row>
    <row r="12" spans="1:14">
      <c r="F12" s="3">
        <v>11</v>
      </c>
      <c r="G12" s="4">
        <f>G11-J11</f>
        <v>2168583.0907355561</v>
      </c>
      <c r="H12" s="4">
        <f>$B$5*G12</f>
        <v>130114.98544413336</v>
      </c>
      <c r="I12" s="4">
        <f t="shared" si="4"/>
        <v>514813.81977656309</v>
      </c>
      <c r="J12" s="4">
        <f>I12-H12</f>
        <v>384698.83433242975</v>
      </c>
      <c r="K12" s="3">
        <f t="shared" si="0"/>
        <v>100000</v>
      </c>
      <c r="L12" s="3">
        <f t="shared" si="1"/>
        <v>5256000</v>
      </c>
      <c r="M12" s="3">
        <f t="shared" si="2"/>
        <v>868291.20000000007</v>
      </c>
      <c r="N12" s="4">
        <f t="shared" si="3"/>
        <v>253477.38022343698</v>
      </c>
    </row>
    <row r="13" spans="1:14">
      <c r="F13" s="3">
        <v>12</v>
      </c>
      <c r="G13" s="4">
        <f>G12-J12</f>
        <v>1783884.2564031263</v>
      </c>
      <c r="H13" s="4">
        <f>$B$5*G13</f>
        <v>107033.05538418757</v>
      </c>
      <c r="I13" s="4">
        <f t="shared" si="4"/>
        <v>514813.81977656309</v>
      </c>
      <c r="J13" s="4">
        <f>I13-H13</f>
        <v>407780.76439237554</v>
      </c>
      <c r="K13" s="3">
        <f t="shared" si="0"/>
        <v>100000</v>
      </c>
      <c r="L13" s="3">
        <f t="shared" si="1"/>
        <v>5256000</v>
      </c>
      <c r="M13" s="3">
        <f t="shared" si="2"/>
        <v>868291.20000000007</v>
      </c>
      <c r="N13" s="4">
        <f t="shared" si="3"/>
        <v>253477.38022343698</v>
      </c>
    </row>
    <row r="14" spans="1:14">
      <c r="F14" s="3">
        <v>13</v>
      </c>
      <c r="G14" s="4">
        <f>G13-J13</f>
        <v>1376103.4920107508</v>
      </c>
      <c r="H14" s="4">
        <f>$B$5*G14</f>
        <v>82566.209520645047</v>
      </c>
      <c r="I14" s="4">
        <f t="shared" si="4"/>
        <v>514813.81977656309</v>
      </c>
      <c r="J14" s="4">
        <f>I14-H14</f>
        <v>432247.61025591806</v>
      </c>
      <c r="K14" s="3">
        <f t="shared" si="0"/>
        <v>100000</v>
      </c>
      <c r="L14" s="3">
        <f t="shared" si="1"/>
        <v>5256000</v>
      </c>
      <c r="M14" s="3">
        <f t="shared" si="2"/>
        <v>868291.20000000007</v>
      </c>
      <c r="N14" s="4">
        <f t="shared" si="3"/>
        <v>253477.38022343698</v>
      </c>
    </row>
    <row r="15" spans="1:14">
      <c r="F15" s="3">
        <v>14</v>
      </c>
      <c r="G15" s="4">
        <f>G14-J14</f>
        <v>943855.88175483281</v>
      </c>
      <c r="H15" s="4">
        <f>$B$5*G15</f>
        <v>56631.352905289968</v>
      </c>
      <c r="I15" s="4">
        <f t="shared" si="4"/>
        <v>514813.81977656309</v>
      </c>
      <c r="J15" s="4">
        <f>I15-H15</f>
        <v>458182.46687127312</v>
      </c>
      <c r="K15" s="3">
        <f t="shared" si="0"/>
        <v>100000</v>
      </c>
      <c r="L15" s="3">
        <f t="shared" si="1"/>
        <v>5256000</v>
      </c>
      <c r="M15" s="3">
        <f t="shared" si="2"/>
        <v>868291.20000000007</v>
      </c>
      <c r="N15" s="4">
        <f t="shared" si="3"/>
        <v>253477.38022343698</v>
      </c>
    </row>
    <row r="16" spans="1:14">
      <c r="F16" s="3">
        <v>15</v>
      </c>
      <c r="G16" s="4">
        <f>G15-J15</f>
        <v>485673.41488355969</v>
      </c>
      <c r="H16" s="4">
        <f>$B$5*G16</f>
        <v>29140.40489301358</v>
      </c>
      <c r="I16" s="4">
        <f t="shared" si="4"/>
        <v>514813.81977656309</v>
      </c>
      <c r="J16" s="4">
        <f>I16-H16</f>
        <v>485673.4148835495</v>
      </c>
      <c r="K16" s="3">
        <f t="shared" si="0"/>
        <v>100000</v>
      </c>
      <c r="L16" s="3">
        <f t="shared" si="1"/>
        <v>5256000</v>
      </c>
      <c r="M16" s="3">
        <f t="shared" si="2"/>
        <v>868291.20000000007</v>
      </c>
      <c r="N16" s="4">
        <f t="shared" si="3"/>
        <v>253477.38022343698</v>
      </c>
    </row>
    <row r="17" spans="6:14">
      <c r="F17" s="3">
        <v>16</v>
      </c>
      <c r="G17" s="4">
        <f>G16-J16</f>
        <v>1.0186340659856796E-8</v>
      </c>
      <c r="H17" s="4">
        <f>$B$5*G17</f>
        <v>6.1118043959140778E-10</v>
      </c>
      <c r="I17" s="3"/>
      <c r="J17" s="3"/>
      <c r="K17" s="3"/>
      <c r="L17" s="3"/>
      <c r="M17" s="3"/>
      <c r="N17" s="3"/>
    </row>
    <row r="18" spans="6:14">
      <c r="G18" s="2" t="s">
        <v>21</v>
      </c>
      <c r="H18" s="5">
        <f>SUM(H2:H16)</f>
        <v>2722207.2966484567</v>
      </c>
      <c r="I18" s="5">
        <f>SUM(I2:I16)</f>
        <v>7722207.2966484455</v>
      </c>
      <c r="J18" s="5">
        <f>SUM(J2:J16)</f>
        <v>4999999.9999999898</v>
      </c>
      <c r="K18" s="6">
        <f>SUM(K2:K16)</f>
        <v>1500000</v>
      </c>
      <c r="L18" s="6">
        <f t="shared" ref="L18:N18" si="5">SUM(L2:L16)</f>
        <v>78840000</v>
      </c>
      <c r="M18" s="6">
        <f t="shared" si="5"/>
        <v>13024367.999999996</v>
      </c>
      <c r="N18" s="6">
        <f t="shared" si="5"/>
        <v>3802160.7033515563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2020-05-27T07:52:54Z</dcterms:modified>
</cp:coreProperties>
</file>