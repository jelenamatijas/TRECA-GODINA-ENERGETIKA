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L14" i="1"/>
  <c r="L13"/>
  <c r="L12"/>
  <c r="L11"/>
  <c r="L10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"/>
  <c r="L8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"/>
  <c r="L9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"/>
  <c r="L7"/>
  <c r="B29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"/>
</calcChain>
</file>

<file path=xl/sharedStrings.xml><?xml version="1.0" encoding="utf-8"?>
<sst xmlns="http://schemas.openxmlformats.org/spreadsheetml/2006/main" count="26" uniqueCount="23">
  <si>
    <t>v(m/s)</t>
  </si>
  <si>
    <t>t(h/god)</t>
  </si>
  <si>
    <t>P(kW)</t>
  </si>
  <si>
    <t>v*t</t>
  </si>
  <si>
    <t>vsr</t>
  </si>
  <si>
    <t>m/s</t>
  </si>
  <si>
    <t>Gustina vazduha</t>
  </si>
  <si>
    <t>kg/m3</t>
  </si>
  <si>
    <t>m2</t>
  </si>
  <si>
    <t>A</t>
  </si>
  <si>
    <t>veff</t>
  </si>
  <si>
    <t>v^3</t>
  </si>
  <si>
    <t>Psr/A</t>
  </si>
  <si>
    <t>v^3*t</t>
  </si>
  <si>
    <t>Wg</t>
  </si>
  <si>
    <t>kWh</t>
  </si>
  <si>
    <t>P*t</t>
  </si>
  <si>
    <t>D</t>
  </si>
  <si>
    <t xml:space="preserve">m </t>
  </si>
  <si>
    <t>W/m2</t>
  </si>
  <si>
    <t>Pv</t>
  </si>
  <si>
    <t xml:space="preserve">W </t>
  </si>
  <si>
    <t>eta</t>
  </si>
</sst>
</file>

<file path=xl/styles.xml><?xml version="1.0" encoding="utf-8"?>
<styleSheet xmlns="http://schemas.openxmlformats.org/spreadsheetml/2006/main">
  <numFmts count="1">
    <numFmt numFmtId="165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2" fontId="0" fillId="3" borderId="0" xfId="0" applyNumberForma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yVal>
            <c:numRef>
              <c:f>Sheet1!$B$2:$B$28</c:f>
              <c:numCache>
                <c:formatCode>General</c:formatCode>
                <c:ptCount val="27"/>
                <c:pt idx="0">
                  <c:v>0</c:v>
                </c:pt>
                <c:pt idx="1">
                  <c:v>276</c:v>
                </c:pt>
                <c:pt idx="2">
                  <c:v>527</c:v>
                </c:pt>
                <c:pt idx="3">
                  <c:v>729</c:v>
                </c:pt>
                <c:pt idx="4">
                  <c:v>869</c:v>
                </c:pt>
                <c:pt idx="5">
                  <c:v>941</c:v>
                </c:pt>
                <c:pt idx="6">
                  <c:v>946</c:v>
                </c:pt>
                <c:pt idx="7">
                  <c:v>896</c:v>
                </c:pt>
                <c:pt idx="8">
                  <c:v>805</c:v>
                </c:pt>
                <c:pt idx="9">
                  <c:v>690</c:v>
                </c:pt>
                <c:pt idx="10">
                  <c:v>565</c:v>
                </c:pt>
                <c:pt idx="11">
                  <c:v>444</c:v>
                </c:pt>
                <c:pt idx="12">
                  <c:v>335</c:v>
                </c:pt>
                <c:pt idx="13">
                  <c:v>243</c:v>
                </c:pt>
                <c:pt idx="14">
                  <c:v>170</c:v>
                </c:pt>
                <c:pt idx="15">
                  <c:v>114</c:v>
                </c:pt>
                <c:pt idx="16">
                  <c:v>74</c:v>
                </c:pt>
                <c:pt idx="17">
                  <c:v>46</c:v>
                </c:pt>
                <c:pt idx="18">
                  <c:v>28</c:v>
                </c:pt>
                <c:pt idx="19">
                  <c:v>16</c:v>
                </c:pt>
                <c:pt idx="20">
                  <c:v>9</c:v>
                </c:pt>
                <c:pt idx="21">
                  <c:v>5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</c:ser>
        <c:axId val="52213632"/>
        <c:axId val="52212096"/>
      </c:scatterChart>
      <c:valAx>
        <c:axId val="52213632"/>
        <c:scaling>
          <c:orientation val="minMax"/>
        </c:scaling>
        <c:axPos val="b"/>
        <c:tickLblPos val="nextTo"/>
        <c:crossAx val="52212096"/>
        <c:crosses val="autoZero"/>
        <c:crossBetween val="midCat"/>
      </c:valAx>
      <c:valAx>
        <c:axId val="52212096"/>
        <c:scaling>
          <c:orientation val="minMax"/>
        </c:scaling>
        <c:axPos val="l"/>
        <c:majorGridlines/>
        <c:numFmt formatCode="General" sourceLinked="1"/>
        <c:tickLblPos val="nextTo"/>
        <c:crossAx val="5221363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yVal>
            <c:numRef>
              <c:f>Sheet1!$C$2:$C$28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33</c:v>
                </c:pt>
                <c:pt idx="5">
                  <c:v>86</c:v>
                </c:pt>
                <c:pt idx="6">
                  <c:v>150</c:v>
                </c:pt>
                <c:pt idx="7">
                  <c:v>248</c:v>
                </c:pt>
                <c:pt idx="8">
                  <c:v>385</c:v>
                </c:pt>
                <c:pt idx="9">
                  <c:v>535</c:v>
                </c:pt>
                <c:pt idx="10">
                  <c:v>670</c:v>
                </c:pt>
                <c:pt idx="11">
                  <c:v>780</c:v>
                </c:pt>
                <c:pt idx="12">
                  <c:v>864</c:v>
                </c:pt>
                <c:pt idx="13">
                  <c:v>924</c:v>
                </c:pt>
                <c:pt idx="14">
                  <c:v>964</c:v>
                </c:pt>
                <c:pt idx="15">
                  <c:v>989</c:v>
                </c:pt>
                <c:pt idx="16">
                  <c:v>1000</c:v>
                </c:pt>
                <c:pt idx="17">
                  <c:v>998</c:v>
                </c:pt>
                <c:pt idx="18">
                  <c:v>987</c:v>
                </c:pt>
                <c:pt idx="19">
                  <c:v>968</c:v>
                </c:pt>
                <c:pt idx="20">
                  <c:v>944</c:v>
                </c:pt>
                <c:pt idx="21">
                  <c:v>917</c:v>
                </c:pt>
                <c:pt idx="22">
                  <c:v>889</c:v>
                </c:pt>
                <c:pt idx="23">
                  <c:v>863</c:v>
                </c:pt>
                <c:pt idx="24">
                  <c:v>840</c:v>
                </c:pt>
                <c:pt idx="25">
                  <c:v>822</c:v>
                </c:pt>
                <c:pt idx="26">
                  <c:v>0</c:v>
                </c:pt>
              </c:numCache>
            </c:numRef>
          </c:yVal>
        </c:ser>
        <c:axId val="54046080"/>
        <c:axId val="54044544"/>
      </c:scatterChart>
      <c:valAx>
        <c:axId val="54046080"/>
        <c:scaling>
          <c:orientation val="minMax"/>
        </c:scaling>
        <c:axPos val="b"/>
        <c:tickLblPos val="nextTo"/>
        <c:crossAx val="54044544"/>
        <c:crosses val="autoZero"/>
        <c:crossBetween val="midCat"/>
      </c:valAx>
      <c:valAx>
        <c:axId val="54044544"/>
        <c:scaling>
          <c:orientation val="minMax"/>
        </c:scaling>
        <c:axPos val="l"/>
        <c:majorGridlines/>
        <c:numFmt formatCode="General" sourceLinked="1"/>
        <c:tickLblPos val="nextTo"/>
        <c:crossAx val="5404608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85725</xdr:colOff>
      <xdr:row>1</xdr:row>
      <xdr:rowOff>66675</xdr:rowOff>
    </xdr:from>
    <xdr:to>
      <xdr:col>21</xdr:col>
      <xdr:colOff>123825</xdr:colOff>
      <xdr:row>13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114300</xdr:colOff>
      <xdr:row>13</xdr:row>
      <xdr:rowOff>171451</xdr:rowOff>
    </xdr:from>
    <xdr:to>
      <xdr:col>21</xdr:col>
      <xdr:colOff>152400</xdr:colOff>
      <xdr:row>26</xdr:row>
      <xdr:rowOff>171451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9"/>
  <sheetViews>
    <sheetView tabSelected="1" workbookViewId="0">
      <selection activeCell="L19" sqref="L19"/>
    </sheetView>
  </sheetViews>
  <sheetFormatPr defaultRowHeight="15"/>
  <cols>
    <col min="11" max="11" width="16.42578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13</v>
      </c>
      <c r="G1" s="1" t="s">
        <v>16</v>
      </c>
    </row>
    <row r="2" spans="1:13">
      <c r="A2" s="2">
        <v>0</v>
      </c>
      <c r="B2" s="2">
        <v>0</v>
      </c>
      <c r="C2" s="2">
        <v>0</v>
      </c>
      <c r="D2" s="2">
        <f>A2*B2</f>
        <v>0</v>
      </c>
      <c r="E2" s="2">
        <f>A2^3</f>
        <v>0</v>
      </c>
      <c r="F2" s="2">
        <f>E2*B2</f>
        <v>0</v>
      </c>
      <c r="G2" s="2">
        <f>C2*B2</f>
        <v>0</v>
      </c>
    </row>
    <row r="3" spans="1:13">
      <c r="A3" s="2">
        <v>1</v>
      </c>
      <c r="B3" s="2">
        <v>276</v>
      </c>
      <c r="C3" s="2">
        <v>0</v>
      </c>
      <c r="D3" s="2">
        <f t="shared" ref="D3:D28" si="0">A3*B3</f>
        <v>276</v>
      </c>
      <c r="E3" s="2">
        <f t="shared" ref="E3:E28" si="1">A3^3</f>
        <v>1</v>
      </c>
      <c r="F3" s="2">
        <f t="shared" ref="F3:F28" si="2">E3*B3</f>
        <v>276</v>
      </c>
      <c r="G3" s="2">
        <f t="shared" ref="G3:G28" si="3">C3*B3</f>
        <v>0</v>
      </c>
    </row>
    <row r="4" spans="1:13">
      <c r="A4" s="2">
        <v>2</v>
      </c>
      <c r="B4" s="2">
        <v>527</v>
      </c>
      <c r="C4" s="2">
        <v>0</v>
      </c>
      <c r="D4" s="2">
        <f t="shared" si="0"/>
        <v>1054</v>
      </c>
      <c r="E4" s="2">
        <f t="shared" si="1"/>
        <v>8</v>
      </c>
      <c r="F4" s="2">
        <f t="shared" si="2"/>
        <v>4216</v>
      </c>
      <c r="G4" s="2">
        <f t="shared" si="3"/>
        <v>0</v>
      </c>
    </row>
    <row r="5" spans="1:13">
      <c r="A5" s="2">
        <v>3</v>
      </c>
      <c r="B5" s="2">
        <v>729</v>
      </c>
      <c r="C5" s="2">
        <v>0</v>
      </c>
      <c r="D5" s="2">
        <f t="shared" si="0"/>
        <v>2187</v>
      </c>
      <c r="E5" s="2">
        <f t="shared" si="1"/>
        <v>27</v>
      </c>
      <c r="F5" s="2">
        <f t="shared" si="2"/>
        <v>19683</v>
      </c>
      <c r="G5" s="2">
        <f t="shared" si="3"/>
        <v>0</v>
      </c>
      <c r="K5" s="1" t="s">
        <v>6</v>
      </c>
      <c r="L5" s="2">
        <v>1.2250000000000001</v>
      </c>
      <c r="M5" s="2" t="s">
        <v>7</v>
      </c>
    </row>
    <row r="6" spans="1:13">
      <c r="A6" s="2">
        <v>4</v>
      </c>
      <c r="B6" s="2">
        <v>869</v>
      </c>
      <c r="C6" s="2">
        <v>33</v>
      </c>
      <c r="D6" s="2">
        <f t="shared" si="0"/>
        <v>3476</v>
      </c>
      <c r="E6" s="2">
        <f t="shared" si="1"/>
        <v>64</v>
      </c>
      <c r="F6" s="2">
        <f t="shared" si="2"/>
        <v>55616</v>
      </c>
      <c r="G6" s="2">
        <f t="shared" si="3"/>
        <v>28677</v>
      </c>
      <c r="K6" s="1" t="s">
        <v>17</v>
      </c>
      <c r="L6" s="2">
        <v>60</v>
      </c>
      <c r="M6" s="2" t="s">
        <v>18</v>
      </c>
    </row>
    <row r="7" spans="1:13">
      <c r="A7" s="2">
        <v>5</v>
      </c>
      <c r="B7" s="2">
        <v>941</v>
      </c>
      <c r="C7" s="2">
        <v>86</v>
      </c>
      <c r="D7" s="2">
        <f t="shared" si="0"/>
        <v>4705</v>
      </c>
      <c r="E7" s="2">
        <f t="shared" si="1"/>
        <v>125</v>
      </c>
      <c r="F7" s="2">
        <f t="shared" si="2"/>
        <v>117625</v>
      </c>
      <c r="G7" s="2">
        <f t="shared" si="3"/>
        <v>80926</v>
      </c>
      <c r="K7" s="1" t="s">
        <v>4</v>
      </c>
      <c r="L7" s="3">
        <f>SUM(D2:D28)/$B$29</f>
        <v>7.0160311462269549</v>
      </c>
      <c r="M7" s="2" t="s">
        <v>5</v>
      </c>
    </row>
    <row r="8" spans="1:13">
      <c r="A8" s="2">
        <v>6</v>
      </c>
      <c r="B8" s="2">
        <v>946</v>
      </c>
      <c r="C8" s="2">
        <v>150</v>
      </c>
      <c r="D8" s="2">
        <f t="shared" si="0"/>
        <v>5676</v>
      </c>
      <c r="E8" s="2">
        <f t="shared" si="1"/>
        <v>216</v>
      </c>
      <c r="F8" s="2">
        <f t="shared" si="2"/>
        <v>204336</v>
      </c>
      <c r="G8" s="2">
        <f t="shared" si="3"/>
        <v>141900</v>
      </c>
      <c r="K8" s="1" t="s">
        <v>10</v>
      </c>
      <c r="L8" s="3">
        <f>(SUM(F2:F28)/$B$29)^(1/3)</f>
        <v>8.6857913984408484</v>
      </c>
      <c r="M8" s="2" t="s">
        <v>5</v>
      </c>
    </row>
    <row r="9" spans="1:13">
      <c r="A9" s="2">
        <v>7</v>
      </c>
      <c r="B9" s="2">
        <v>896</v>
      </c>
      <c r="C9" s="2">
        <v>248</v>
      </c>
      <c r="D9" s="2">
        <f t="shared" si="0"/>
        <v>6272</v>
      </c>
      <c r="E9" s="2">
        <f t="shared" si="1"/>
        <v>343</v>
      </c>
      <c r="F9" s="2">
        <f t="shared" si="2"/>
        <v>307328</v>
      </c>
      <c r="G9" s="2">
        <f t="shared" si="3"/>
        <v>222208</v>
      </c>
      <c r="K9" s="1" t="s">
        <v>12</v>
      </c>
      <c r="L9" s="3">
        <f>0.5*$L$5*$L$8^3</f>
        <v>401.36017548379715</v>
      </c>
      <c r="M9" s="2" t="s">
        <v>19</v>
      </c>
    </row>
    <row r="10" spans="1:13">
      <c r="A10" s="2">
        <v>8</v>
      </c>
      <c r="B10" s="2">
        <v>805</v>
      </c>
      <c r="C10" s="2">
        <v>385</v>
      </c>
      <c r="D10" s="2">
        <f t="shared" si="0"/>
        <v>6440</v>
      </c>
      <c r="E10" s="2">
        <f t="shared" si="1"/>
        <v>512</v>
      </c>
      <c r="F10" s="2">
        <f t="shared" si="2"/>
        <v>412160</v>
      </c>
      <c r="G10" s="2">
        <f t="shared" si="3"/>
        <v>309925</v>
      </c>
      <c r="K10" s="1" t="s">
        <v>14</v>
      </c>
      <c r="L10" s="2">
        <f>SUM(G2:G28)</f>
        <v>2848737</v>
      </c>
      <c r="M10" s="2" t="s">
        <v>15</v>
      </c>
    </row>
    <row r="11" spans="1:13">
      <c r="A11" s="2">
        <v>9</v>
      </c>
      <c r="B11" s="2">
        <v>690</v>
      </c>
      <c r="C11" s="2">
        <v>535</v>
      </c>
      <c r="D11" s="2">
        <f t="shared" si="0"/>
        <v>6210</v>
      </c>
      <c r="E11" s="2">
        <f t="shared" si="1"/>
        <v>729</v>
      </c>
      <c r="F11" s="2">
        <f t="shared" si="2"/>
        <v>503010</v>
      </c>
      <c r="G11" s="2">
        <f t="shared" si="3"/>
        <v>369150</v>
      </c>
      <c r="K11" s="1" t="s">
        <v>9</v>
      </c>
      <c r="L11" s="2">
        <f>$L$6^2*3.14/4</f>
        <v>2826</v>
      </c>
      <c r="M11" s="2" t="s">
        <v>8</v>
      </c>
    </row>
    <row r="12" spans="1:13">
      <c r="A12" s="2">
        <v>10</v>
      </c>
      <c r="B12" s="2">
        <v>565</v>
      </c>
      <c r="C12" s="2">
        <v>670</v>
      </c>
      <c r="D12" s="2">
        <f t="shared" si="0"/>
        <v>5650</v>
      </c>
      <c r="E12" s="2">
        <f t="shared" si="1"/>
        <v>1000</v>
      </c>
      <c r="F12" s="2">
        <f t="shared" si="2"/>
        <v>565000</v>
      </c>
      <c r="G12" s="2">
        <f t="shared" si="3"/>
        <v>378550</v>
      </c>
      <c r="K12" s="1" t="s">
        <v>20</v>
      </c>
      <c r="L12" s="2">
        <f>$L$9*$L$11</f>
        <v>1134243.8559172107</v>
      </c>
      <c r="M12" s="2" t="s">
        <v>21</v>
      </c>
    </row>
    <row r="13" spans="1:13">
      <c r="A13" s="2">
        <v>11</v>
      </c>
      <c r="B13" s="2">
        <v>444</v>
      </c>
      <c r="C13" s="2">
        <v>780</v>
      </c>
      <c r="D13" s="2">
        <f t="shared" si="0"/>
        <v>4884</v>
      </c>
      <c r="E13" s="2">
        <f t="shared" si="1"/>
        <v>1331</v>
      </c>
      <c r="F13" s="2">
        <f t="shared" si="2"/>
        <v>590964</v>
      </c>
      <c r="G13" s="2">
        <f t="shared" si="3"/>
        <v>346320</v>
      </c>
      <c r="K13" s="1" t="s">
        <v>21</v>
      </c>
      <c r="L13" s="2">
        <f>$L$12*$B$29/1000</f>
        <v>9905351.5937249996</v>
      </c>
      <c r="M13" s="2" t="s">
        <v>15</v>
      </c>
    </row>
    <row r="14" spans="1:13">
      <c r="A14" s="2">
        <v>12</v>
      </c>
      <c r="B14" s="2">
        <v>335</v>
      </c>
      <c r="C14" s="2">
        <v>864</v>
      </c>
      <c r="D14" s="2">
        <f t="shared" si="0"/>
        <v>4020</v>
      </c>
      <c r="E14" s="2">
        <f t="shared" si="1"/>
        <v>1728</v>
      </c>
      <c r="F14" s="2">
        <f t="shared" si="2"/>
        <v>578880</v>
      </c>
      <c r="G14" s="2">
        <f t="shared" si="3"/>
        <v>289440</v>
      </c>
      <c r="K14" s="1" t="s">
        <v>22</v>
      </c>
      <c r="L14" s="4">
        <f>$L$10/$L$13</f>
        <v>0.28759574791920195</v>
      </c>
      <c r="M14" s="2"/>
    </row>
    <row r="15" spans="1:13">
      <c r="A15" s="2">
        <v>13</v>
      </c>
      <c r="B15" s="2">
        <v>243</v>
      </c>
      <c r="C15" s="2">
        <v>924</v>
      </c>
      <c r="D15" s="2">
        <f t="shared" si="0"/>
        <v>3159</v>
      </c>
      <c r="E15" s="2">
        <f t="shared" si="1"/>
        <v>2197</v>
      </c>
      <c r="F15" s="2">
        <f t="shared" si="2"/>
        <v>533871</v>
      </c>
      <c r="G15" s="2">
        <f t="shared" si="3"/>
        <v>224532</v>
      </c>
    </row>
    <row r="16" spans="1:13">
      <c r="A16" s="2">
        <v>14</v>
      </c>
      <c r="B16" s="2">
        <v>170</v>
      </c>
      <c r="C16" s="2">
        <v>964</v>
      </c>
      <c r="D16" s="2">
        <f t="shared" si="0"/>
        <v>2380</v>
      </c>
      <c r="E16" s="2">
        <f t="shared" si="1"/>
        <v>2744</v>
      </c>
      <c r="F16" s="2">
        <f t="shared" si="2"/>
        <v>466480</v>
      </c>
      <c r="G16" s="2">
        <f t="shared" si="3"/>
        <v>163880</v>
      </c>
    </row>
    <row r="17" spans="1:7">
      <c r="A17" s="2">
        <v>15</v>
      </c>
      <c r="B17" s="2">
        <v>114</v>
      </c>
      <c r="C17" s="2">
        <v>989</v>
      </c>
      <c r="D17" s="2">
        <f t="shared" si="0"/>
        <v>1710</v>
      </c>
      <c r="E17" s="2">
        <f t="shared" si="1"/>
        <v>3375</v>
      </c>
      <c r="F17" s="2">
        <f t="shared" si="2"/>
        <v>384750</v>
      </c>
      <c r="G17" s="2">
        <f t="shared" si="3"/>
        <v>112746</v>
      </c>
    </row>
    <row r="18" spans="1:7">
      <c r="A18" s="2">
        <v>16</v>
      </c>
      <c r="B18" s="2">
        <v>74</v>
      </c>
      <c r="C18" s="2">
        <v>1000</v>
      </c>
      <c r="D18" s="2">
        <f t="shared" si="0"/>
        <v>1184</v>
      </c>
      <c r="E18" s="2">
        <f t="shared" si="1"/>
        <v>4096</v>
      </c>
      <c r="F18" s="2">
        <f t="shared" si="2"/>
        <v>303104</v>
      </c>
      <c r="G18" s="2">
        <f t="shared" si="3"/>
        <v>74000</v>
      </c>
    </row>
    <row r="19" spans="1:7">
      <c r="A19" s="2">
        <v>17</v>
      </c>
      <c r="B19" s="2">
        <v>46</v>
      </c>
      <c r="C19" s="2">
        <v>998</v>
      </c>
      <c r="D19" s="2">
        <f t="shared" si="0"/>
        <v>782</v>
      </c>
      <c r="E19" s="2">
        <f t="shared" si="1"/>
        <v>4913</v>
      </c>
      <c r="F19" s="2">
        <f t="shared" si="2"/>
        <v>225998</v>
      </c>
      <c r="G19" s="2">
        <f t="shared" si="3"/>
        <v>45908</v>
      </c>
    </row>
    <row r="20" spans="1:7">
      <c r="A20" s="2">
        <v>18</v>
      </c>
      <c r="B20" s="2">
        <v>28</v>
      </c>
      <c r="C20" s="2">
        <v>987</v>
      </c>
      <c r="D20" s="2">
        <f t="shared" si="0"/>
        <v>504</v>
      </c>
      <c r="E20" s="2">
        <f t="shared" si="1"/>
        <v>5832</v>
      </c>
      <c r="F20" s="2">
        <f t="shared" si="2"/>
        <v>163296</v>
      </c>
      <c r="G20" s="2">
        <f t="shared" si="3"/>
        <v>27636</v>
      </c>
    </row>
    <row r="21" spans="1:7">
      <c r="A21" s="2">
        <v>19</v>
      </c>
      <c r="B21" s="2">
        <v>16</v>
      </c>
      <c r="C21" s="2">
        <v>968</v>
      </c>
      <c r="D21" s="2">
        <f t="shared" si="0"/>
        <v>304</v>
      </c>
      <c r="E21" s="2">
        <f t="shared" si="1"/>
        <v>6859</v>
      </c>
      <c r="F21" s="2">
        <f t="shared" si="2"/>
        <v>109744</v>
      </c>
      <c r="G21" s="2">
        <f t="shared" si="3"/>
        <v>15488</v>
      </c>
    </row>
    <row r="22" spans="1:7">
      <c r="A22" s="2">
        <v>20</v>
      </c>
      <c r="B22" s="2">
        <v>9</v>
      </c>
      <c r="C22" s="2">
        <v>944</v>
      </c>
      <c r="D22" s="2">
        <f t="shared" si="0"/>
        <v>180</v>
      </c>
      <c r="E22" s="2">
        <f t="shared" si="1"/>
        <v>8000</v>
      </c>
      <c r="F22" s="2">
        <f t="shared" si="2"/>
        <v>72000</v>
      </c>
      <c r="G22" s="2">
        <f t="shared" si="3"/>
        <v>8496</v>
      </c>
    </row>
    <row r="23" spans="1:7">
      <c r="A23" s="2">
        <v>21</v>
      </c>
      <c r="B23" s="2">
        <v>5</v>
      </c>
      <c r="C23" s="2">
        <v>917</v>
      </c>
      <c r="D23" s="2">
        <f t="shared" si="0"/>
        <v>105</v>
      </c>
      <c r="E23" s="2">
        <f t="shared" si="1"/>
        <v>9261</v>
      </c>
      <c r="F23" s="2">
        <f t="shared" si="2"/>
        <v>46305</v>
      </c>
      <c r="G23" s="2">
        <f t="shared" si="3"/>
        <v>4585</v>
      </c>
    </row>
    <row r="24" spans="1:7">
      <c r="A24" s="2">
        <v>22</v>
      </c>
      <c r="B24" s="2">
        <v>3</v>
      </c>
      <c r="C24" s="2">
        <v>889</v>
      </c>
      <c r="D24" s="2">
        <f t="shared" si="0"/>
        <v>66</v>
      </c>
      <c r="E24" s="2">
        <f t="shared" si="1"/>
        <v>10648</v>
      </c>
      <c r="F24" s="2">
        <f t="shared" si="2"/>
        <v>31944</v>
      </c>
      <c r="G24" s="2">
        <f t="shared" si="3"/>
        <v>2667</v>
      </c>
    </row>
    <row r="25" spans="1:7">
      <c r="A25" s="2">
        <v>23</v>
      </c>
      <c r="B25" s="2">
        <v>1</v>
      </c>
      <c r="C25" s="2">
        <v>863</v>
      </c>
      <c r="D25" s="2">
        <f t="shared" si="0"/>
        <v>23</v>
      </c>
      <c r="E25" s="2">
        <f t="shared" si="1"/>
        <v>12167</v>
      </c>
      <c r="F25" s="2">
        <f t="shared" si="2"/>
        <v>12167</v>
      </c>
      <c r="G25" s="2">
        <f t="shared" si="3"/>
        <v>863</v>
      </c>
    </row>
    <row r="26" spans="1:7">
      <c r="A26" s="2">
        <v>24</v>
      </c>
      <c r="B26" s="2">
        <v>1</v>
      </c>
      <c r="C26" s="2">
        <v>840</v>
      </c>
      <c r="D26" s="2">
        <f t="shared" si="0"/>
        <v>24</v>
      </c>
      <c r="E26" s="2">
        <f t="shared" si="1"/>
        <v>13824</v>
      </c>
      <c r="F26" s="2">
        <f t="shared" si="2"/>
        <v>13824</v>
      </c>
      <c r="G26" s="2">
        <f t="shared" si="3"/>
        <v>840</v>
      </c>
    </row>
    <row r="27" spans="1:7">
      <c r="A27" s="2">
        <v>25</v>
      </c>
      <c r="B27" s="2">
        <v>0</v>
      </c>
      <c r="C27" s="2">
        <v>822</v>
      </c>
      <c r="D27" s="2">
        <f t="shared" si="0"/>
        <v>0</v>
      </c>
      <c r="E27" s="2">
        <f t="shared" si="1"/>
        <v>15625</v>
      </c>
      <c r="F27" s="2">
        <f t="shared" si="2"/>
        <v>0</v>
      </c>
      <c r="G27" s="2">
        <f t="shared" si="3"/>
        <v>0</v>
      </c>
    </row>
    <row r="28" spans="1:7">
      <c r="A28" s="2">
        <v>26</v>
      </c>
      <c r="B28" s="2">
        <v>0</v>
      </c>
      <c r="C28" s="2">
        <v>0</v>
      </c>
      <c r="D28" s="2">
        <f t="shared" si="0"/>
        <v>0</v>
      </c>
      <c r="E28" s="2">
        <f t="shared" si="1"/>
        <v>17576</v>
      </c>
      <c r="F28" s="2">
        <f t="shared" si="2"/>
        <v>0</v>
      </c>
      <c r="G28" s="2">
        <f t="shared" si="3"/>
        <v>0</v>
      </c>
    </row>
    <row r="29" spans="1:7">
      <c r="A29" s="2"/>
      <c r="B29" s="2">
        <f>SUM(B2:B28)</f>
        <v>8733</v>
      </c>
      <c r="C29" s="2"/>
      <c r="D29" s="2"/>
      <c r="E29" s="2"/>
      <c r="F29" s="2"/>
      <c r="G29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2020-05-27T07:03:50Z</dcterms:modified>
</cp:coreProperties>
</file>