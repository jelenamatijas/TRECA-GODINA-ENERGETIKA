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Sheet1!$G$30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Sheet1!$G$29</definedName>
    <definedName name="solver_pre" localSheetId="0" hidden="1">0.000001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0.1652</definedName>
  </definedNames>
  <calcPr calcId="125725"/>
</workbook>
</file>

<file path=xl/calcChain.xml><?xml version="1.0" encoding="utf-8"?>
<calcChain xmlns="http://schemas.openxmlformats.org/spreadsheetml/2006/main">
  <c r="G29" i="1"/>
  <c r="L4"/>
  <c r="L5"/>
  <c r="L6"/>
  <c r="L7"/>
  <c r="L8"/>
  <c r="L9"/>
  <c r="L10"/>
  <c r="L11"/>
  <c r="L12"/>
  <c r="L3"/>
  <c r="K4"/>
  <c r="K5"/>
  <c r="K6"/>
  <c r="K7"/>
  <c r="K8"/>
  <c r="K9"/>
  <c r="K10"/>
  <c r="K11"/>
  <c r="K12"/>
  <c r="K3"/>
  <c r="G11"/>
  <c r="G10"/>
  <c r="G9"/>
  <c r="G8"/>
  <c r="G7"/>
  <c r="G6"/>
  <c r="G5"/>
  <c r="G4"/>
  <c r="G3"/>
</calcChain>
</file>

<file path=xl/sharedStrings.xml><?xml version="1.0" encoding="utf-8"?>
<sst xmlns="http://schemas.openxmlformats.org/spreadsheetml/2006/main" count="41" uniqueCount="34">
  <si>
    <t>Podaci</t>
  </si>
  <si>
    <t>Broj agregata</t>
  </si>
  <si>
    <t>Snaga jednog agregata</t>
  </si>
  <si>
    <t>Troškovi</t>
  </si>
  <si>
    <t>Investicija</t>
  </si>
  <si>
    <t>Održavanje</t>
  </si>
  <si>
    <t>Kamata</t>
  </si>
  <si>
    <t>Godišnji povrat</t>
  </si>
  <si>
    <t>Srednja brzina vjetra</t>
  </si>
  <si>
    <t>Prečnik lopatica</t>
  </si>
  <si>
    <t>Broj godina</t>
  </si>
  <si>
    <t>MW</t>
  </si>
  <si>
    <t>KM/kW</t>
  </si>
  <si>
    <t xml:space="preserve">KM </t>
  </si>
  <si>
    <t>m/s</t>
  </si>
  <si>
    <t>m</t>
  </si>
  <si>
    <t>Proračun</t>
  </si>
  <si>
    <t>Ukupna snaga elektrane</t>
  </si>
  <si>
    <t>CF</t>
  </si>
  <si>
    <t>Godisnja proizvedena energija</t>
  </si>
  <si>
    <t>Ukupno ulaganje</t>
  </si>
  <si>
    <t>kWh</t>
  </si>
  <si>
    <t>Kredit</t>
  </si>
  <si>
    <t>Rata kredita</t>
  </si>
  <si>
    <t>Godisnji povrat investicije</t>
  </si>
  <si>
    <t>KM</t>
  </si>
  <si>
    <t>Godisnji rashodi</t>
  </si>
  <si>
    <t>Cijena el.energije</t>
  </si>
  <si>
    <t>KM/kWh</t>
  </si>
  <si>
    <t>vsr(m/s)</t>
  </si>
  <si>
    <t>LCOE(KM/kWh)</t>
  </si>
  <si>
    <t>Zagarantovana cijena</t>
  </si>
  <si>
    <t>Najmanja isplativa vsr</t>
  </si>
  <si>
    <t>Samostalan rad</t>
  </si>
</sst>
</file>

<file path=xl/styles.xml><?xml version="1.0" encoding="utf-8"?>
<styleSheet xmlns="http://schemas.openxmlformats.org/spreadsheetml/2006/main">
  <numFmts count="3">
    <numFmt numFmtId="8" formatCode="#,##0.00\ &quot;KM&quot;;[Red]\-#,##0.00\ &quot;KM&quot;"/>
    <numFmt numFmtId="166" formatCode="0.0000"/>
    <numFmt numFmtId="168" formatCode="#,##0.0000\ &quot;KM&quot;;[Red]\-#,##0.0000\ &quot;KM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2" fontId="0" fillId="3" borderId="0" xfId="0" applyNumberFormat="1" applyFill="1"/>
    <xf numFmtId="0" fontId="0" fillId="3" borderId="0" xfId="0" applyFill="1"/>
    <xf numFmtId="10" fontId="0" fillId="3" borderId="0" xfId="0" applyNumberFormat="1" applyFill="1"/>
    <xf numFmtId="166" fontId="0" fillId="3" borderId="0" xfId="0" applyNumberFormat="1" applyFill="1"/>
    <xf numFmtId="8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Sheet1!$K$3:$K$12</c:f>
              <c:numCache>
                <c:formatCode>0.0000</c:formatCode>
                <c:ptCount val="10"/>
                <c:pt idx="0">
                  <c:v>0.10533333333333333</c:v>
                </c:pt>
                <c:pt idx="1">
                  <c:v>0.1923333333333333</c:v>
                </c:pt>
                <c:pt idx="2">
                  <c:v>0.27933333333333327</c:v>
                </c:pt>
                <c:pt idx="3">
                  <c:v>0.36633333333333323</c:v>
                </c:pt>
                <c:pt idx="4">
                  <c:v>0.4533333333333332</c:v>
                </c:pt>
                <c:pt idx="5">
                  <c:v>0.54033333333333333</c:v>
                </c:pt>
                <c:pt idx="6">
                  <c:v>0.6273333333333333</c:v>
                </c:pt>
                <c:pt idx="7">
                  <c:v>0.71433333333333326</c:v>
                </c:pt>
                <c:pt idx="8">
                  <c:v>0.80133333333333323</c:v>
                </c:pt>
                <c:pt idx="9">
                  <c:v>0.8883333333333332</c:v>
                </c:pt>
              </c:numCache>
            </c:numRef>
          </c:xVal>
          <c:yVal>
            <c:numRef>
              <c:f>Sheet1!$L$3:$L$12</c:f>
              <c:numCache>
                <c:formatCode>0.0000</c:formatCode>
                <c:ptCount val="10"/>
                <c:pt idx="0">
                  <c:v>0.38460647100130629</c:v>
                </c:pt>
                <c:pt idx="1">
                  <c:v>0.21063369988979688</c:v>
                </c:pt>
                <c:pt idx="2">
                  <c:v>0.14503060243008689</c:v>
                </c:pt>
                <c:pt idx="3">
                  <c:v>0.11058748392758219</c:v>
                </c:pt>
                <c:pt idx="4">
                  <c:v>8.9364444732656478E-2</c:v>
                </c:pt>
                <c:pt idx="5">
                  <c:v>7.4975721675763593E-2</c:v>
                </c:pt>
                <c:pt idx="6">
                  <c:v>6.4577919679284154E-2</c:v>
                </c:pt>
                <c:pt idx="7">
                  <c:v>5.6712853400099301E-2</c:v>
                </c:pt>
                <c:pt idx="8">
                  <c:v>5.0555592694015314E-2</c:v>
                </c:pt>
                <c:pt idx="9">
                  <c:v>4.5604369544620188E-2</c:v>
                </c:pt>
              </c:numCache>
            </c:numRef>
          </c:yVal>
        </c:ser>
        <c:axId val="51671040"/>
        <c:axId val="51645056"/>
      </c:scatterChart>
      <c:valAx>
        <c:axId val="51671040"/>
        <c:scaling>
          <c:orientation val="minMax"/>
        </c:scaling>
        <c:axPos val="b"/>
        <c:numFmt formatCode="0.0000" sourceLinked="1"/>
        <c:tickLblPos val="nextTo"/>
        <c:crossAx val="51645056"/>
        <c:crosses val="autoZero"/>
        <c:crossBetween val="midCat"/>
      </c:valAx>
      <c:valAx>
        <c:axId val="51645056"/>
        <c:scaling>
          <c:orientation val="minMax"/>
        </c:scaling>
        <c:axPos val="l"/>
        <c:majorGridlines/>
        <c:numFmt formatCode="0.0000" sourceLinked="1"/>
        <c:tickLblPos val="nextTo"/>
        <c:crossAx val="516710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Sheet1!$J$3:$J$12</c:f>
              <c:numCache>
                <c:formatCode>General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</c:numCache>
            </c:numRef>
          </c:xVal>
          <c:yVal>
            <c:numRef>
              <c:f>Sheet1!$L$3:$L$12</c:f>
              <c:numCache>
                <c:formatCode>0.0000</c:formatCode>
                <c:ptCount val="10"/>
                <c:pt idx="0">
                  <c:v>0.38460647100130629</c:v>
                </c:pt>
                <c:pt idx="1">
                  <c:v>0.21063369988979688</c:v>
                </c:pt>
                <c:pt idx="2">
                  <c:v>0.14503060243008689</c:v>
                </c:pt>
                <c:pt idx="3">
                  <c:v>0.11058748392758219</c:v>
                </c:pt>
                <c:pt idx="4">
                  <c:v>8.9364444732656478E-2</c:v>
                </c:pt>
                <c:pt idx="5">
                  <c:v>7.4975721675763593E-2</c:v>
                </c:pt>
                <c:pt idx="6">
                  <c:v>6.4577919679284154E-2</c:v>
                </c:pt>
                <c:pt idx="7">
                  <c:v>5.6712853400099301E-2</c:v>
                </c:pt>
                <c:pt idx="8">
                  <c:v>5.0555592694015314E-2</c:v>
                </c:pt>
                <c:pt idx="9">
                  <c:v>4.5604369544620188E-2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  <c:yVal>
            <c:numRef>
              <c:f>Sheet1!$M$3:$M$12</c:f>
              <c:numCache>
                <c:formatCode>General</c:formatCode>
                <c:ptCount val="10"/>
                <c:pt idx="0">
                  <c:v>0.16520000000000001</c:v>
                </c:pt>
                <c:pt idx="1">
                  <c:v>0.16520000000000001</c:v>
                </c:pt>
                <c:pt idx="2">
                  <c:v>0.16520000000000001</c:v>
                </c:pt>
                <c:pt idx="3">
                  <c:v>0.16520000000000001</c:v>
                </c:pt>
                <c:pt idx="4">
                  <c:v>0.16520000000000001</c:v>
                </c:pt>
                <c:pt idx="5">
                  <c:v>0.16520000000000001</c:v>
                </c:pt>
                <c:pt idx="6">
                  <c:v>0.16520000000000001</c:v>
                </c:pt>
                <c:pt idx="7">
                  <c:v>0.16520000000000001</c:v>
                </c:pt>
                <c:pt idx="8">
                  <c:v>0.16520000000000001</c:v>
                </c:pt>
                <c:pt idx="9">
                  <c:v>0.16520000000000001</c:v>
                </c:pt>
              </c:numCache>
            </c:numRef>
          </c:yVal>
        </c:ser>
        <c:axId val="85981056"/>
        <c:axId val="85979520"/>
      </c:scatterChart>
      <c:valAx>
        <c:axId val="85981056"/>
        <c:scaling>
          <c:orientation val="minMax"/>
        </c:scaling>
        <c:axPos val="b"/>
        <c:numFmt formatCode="General" sourceLinked="1"/>
        <c:tickLblPos val="nextTo"/>
        <c:crossAx val="85979520"/>
        <c:crosses val="autoZero"/>
        <c:crossBetween val="midCat"/>
      </c:valAx>
      <c:valAx>
        <c:axId val="85979520"/>
        <c:scaling>
          <c:orientation val="minMax"/>
        </c:scaling>
        <c:axPos val="l"/>
        <c:majorGridlines/>
        <c:numFmt formatCode="0.0000" sourceLinked="1"/>
        <c:tickLblPos val="nextTo"/>
        <c:crossAx val="8598105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13</xdr:row>
      <xdr:rowOff>66675</xdr:rowOff>
    </xdr:from>
    <xdr:to>
      <xdr:col>6</xdr:col>
      <xdr:colOff>723900</xdr:colOff>
      <xdr:row>25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13</xdr:row>
      <xdr:rowOff>85725</xdr:rowOff>
    </xdr:from>
    <xdr:to>
      <xdr:col>14</xdr:col>
      <xdr:colOff>0</xdr:colOff>
      <xdr:row>25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30"/>
  <sheetViews>
    <sheetView tabSelected="1" workbookViewId="0">
      <selection activeCell="J31" sqref="J31"/>
    </sheetView>
  </sheetViews>
  <sheetFormatPr defaultRowHeight="15"/>
  <cols>
    <col min="2" max="2" width="21.85546875" customWidth="1"/>
    <col min="3" max="3" width="11.5703125" bestFit="1" customWidth="1"/>
    <col min="6" max="6" width="27.5703125" customWidth="1"/>
    <col min="7" max="7" width="16.140625" bestFit="1" customWidth="1"/>
    <col min="11" max="11" width="10.5703125" bestFit="1" customWidth="1"/>
    <col min="12" max="12" width="15.7109375" customWidth="1"/>
    <col min="13" max="13" width="20" customWidth="1"/>
  </cols>
  <sheetData>
    <row r="2" spans="2:13">
      <c r="B2" s="2" t="s">
        <v>0</v>
      </c>
      <c r="C2" s="2"/>
      <c r="D2" s="2"/>
      <c r="F2" s="2" t="s">
        <v>16</v>
      </c>
      <c r="G2" s="2"/>
      <c r="H2" s="2"/>
      <c r="J2" s="1" t="s">
        <v>29</v>
      </c>
      <c r="K2" s="1" t="s">
        <v>18</v>
      </c>
      <c r="L2" s="1" t="s">
        <v>30</v>
      </c>
      <c r="M2" s="1" t="s">
        <v>31</v>
      </c>
    </row>
    <row r="3" spans="2:13">
      <c r="B3" s="1" t="s">
        <v>1</v>
      </c>
      <c r="C3" s="4">
        <v>40</v>
      </c>
      <c r="D3" s="5"/>
      <c r="F3" s="1" t="s">
        <v>17</v>
      </c>
      <c r="G3" s="5">
        <f>$C$3*$C$4</f>
        <v>60</v>
      </c>
      <c r="H3" s="5" t="s">
        <v>11</v>
      </c>
      <c r="J3" s="5">
        <v>6</v>
      </c>
      <c r="K3" s="7">
        <f>0.087*J3-$C$4*1000/($C$11^2)</f>
        <v>0.10533333333333333</v>
      </c>
      <c r="L3" s="7">
        <f>$G$10/($G$3*1000*K3*8760)</f>
        <v>0.38460647100130629</v>
      </c>
      <c r="M3" s="5">
        <v>0.16520000000000001</v>
      </c>
    </row>
    <row r="4" spans="2:13">
      <c r="B4" s="1" t="s">
        <v>2</v>
      </c>
      <c r="C4" s="4">
        <v>1.5</v>
      </c>
      <c r="D4" s="5" t="s">
        <v>11</v>
      </c>
      <c r="F4" s="1" t="s">
        <v>18</v>
      </c>
      <c r="G4" s="7">
        <f>0.087*$C$10-$C$4*1000/($C$11^2)</f>
        <v>0.32283333333333325</v>
      </c>
      <c r="H4" s="5"/>
      <c r="J4" s="5">
        <v>7</v>
      </c>
      <c r="K4" s="7">
        <f t="shared" ref="K4:K12" si="0">0.087*J4-$C$4*1000/($C$11^2)</f>
        <v>0.1923333333333333</v>
      </c>
      <c r="L4" s="7">
        <f t="shared" ref="L4:L12" si="1">$G$10/($G$3*1000*K4*8760)</f>
        <v>0.21063369988979688</v>
      </c>
      <c r="M4" s="5">
        <v>0.16520000000000001</v>
      </c>
    </row>
    <row r="5" spans="2:13">
      <c r="B5" s="1" t="s">
        <v>3</v>
      </c>
      <c r="C5" s="4">
        <v>3000</v>
      </c>
      <c r="D5" s="5" t="s">
        <v>12</v>
      </c>
      <c r="F5" s="1" t="s">
        <v>19</v>
      </c>
      <c r="G5" s="5">
        <f>$G$3*1000*8760*$G$4</f>
        <v>169681199.99999997</v>
      </c>
      <c r="H5" s="5" t="s">
        <v>21</v>
      </c>
      <c r="J5" s="5">
        <v>8</v>
      </c>
      <c r="K5" s="7">
        <f t="shared" si="0"/>
        <v>0.27933333333333327</v>
      </c>
      <c r="L5" s="7">
        <f t="shared" si="1"/>
        <v>0.14503060243008689</v>
      </c>
      <c r="M5" s="5">
        <v>0.16520000000000001</v>
      </c>
    </row>
    <row r="6" spans="2:13">
      <c r="B6" s="1" t="s">
        <v>4</v>
      </c>
      <c r="C6" s="4">
        <v>45000000</v>
      </c>
      <c r="D6" s="5" t="s">
        <v>13</v>
      </c>
      <c r="F6" s="1" t="s">
        <v>20</v>
      </c>
      <c r="G6" s="5">
        <f>$C$5*1000*$G$3</f>
        <v>180000000</v>
      </c>
      <c r="H6" s="5" t="s">
        <v>25</v>
      </c>
      <c r="J6" s="5">
        <v>9</v>
      </c>
      <c r="K6" s="7">
        <f t="shared" si="0"/>
        <v>0.36633333333333323</v>
      </c>
      <c r="L6" s="7">
        <f t="shared" si="1"/>
        <v>0.11058748392758219</v>
      </c>
      <c r="M6" s="5">
        <v>0.16520000000000001</v>
      </c>
    </row>
    <row r="7" spans="2:13">
      <c r="B7" s="1" t="s">
        <v>5</v>
      </c>
      <c r="C7" s="6">
        <v>0.01</v>
      </c>
      <c r="D7" s="5"/>
      <c r="F7" s="1" t="s">
        <v>22</v>
      </c>
      <c r="G7" s="4">
        <f>G6-C6</f>
        <v>135000000</v>
      </c>
      <c r="H7" s="5" t="s">
        <v>25</v>
      </c>
      <c r="J7" s="5">
        <v>10</v>
      </c>
      <c r="K7" s="7">
        <f t="shared" si="0"/>
        <v>0.4533333333333332</v>
      </c>
      <c r="L7" s="7">
        <f t="shared" si="1"/>
        <v>8.9364444732656478E-2</v>
      </c>
      <c r="M7" s="5">
        <v>0.16520000000000001</v>
      </c>
    </row>
    <row r="8" spans="2:13">
      <c r="B8" s="1" t="s">
        <v>6</v>
      </c>
      <c r="C8" s="6">
        <v>7.0000000000000007E-2</v>
      </c>
      <c r="D8" s="5"/>
      <c r="F8" s="1" t="s">
        <v>23</v>
      </c>
      <c r="G8" s="8">
        <f>-PMT(C8,C12,G7)</f>
        <v>12743044.975339521</v>
      </c>
      <c r="H8" s="5" t="s">
        <v>25</v>
      </c>
      <c r="J8" s="5">
        <v>11</v>
      </c>
      <c r="K8" s="7">
        <f t="shared" si="0"/>
        <v>0.54033333333333333</v>
      </c>
      <c r="L8" s="7">
        <f t="shared" si="1"/>
        <v>7.4975721675763593E-2</v>
      </c>
      <c r="M8" s="5">
        <v>0.16520000000000001</v>
      </c>
    </row>
    <row r="9" spans="2:13">
      <c r="B9" s="1" t="s">
        <v>7</v>
      </c>
      <c r="C9" s="6">
        <v>0.15</v>
      </c>
      <c r="D9" s="5"/>
      <c r="F9" s="1" t="s">
        <v>24</v>
      </c>
      <c r="G9" s="5">
        <f>C9*C6</f>
        <v>6750000</v>
      </c>
      <c r="H9" s="5" t="s">
        <v>25</v>
      </c>
      <c r="J9" s="5">
        <v>12</v>
      </c>
      <c r="K9" s="7">
        <f t="shared" si="0"/>
        <v>0.6273333333333333</v>
      </c>
      <c r="L9" s="7">
        <f t="shared" si="1"/>
        <v>6.4577919679284154E-2</v>
      </c>
      <c r="M9" s="5">
        <v>0.16520000000000001</v>
      </c>
    </row>
    <row r="10" spans="2:13">
      <c r="B10" s="1" t="s">
        <v>8</v>
      </c>
      <c r="C10" s="4">
        <v>8.5</v>
      </c>
      <c r="D10" s="5" t="s">
        <v>14</v>
      </c>
      <c r="F10" s="1" t="s">
        <v>26</v>
      </c>
      <c r="G10" s="8">
        <f>C7*G6+G8+G9</f>
        <v>21293044.975339521</v>
      </c>
      <c r="H10" s="5" t="s">
        <v>25</v>
      </c>
      <c r="J10" s="5">
        <v>13</v>
      </c>
      <c r="K10" s="7">
        <f t="shared" si="0"/>
        <v>0.71433333333333326</v>
      </c>
      <c r="L10" s="7">
        <f t="shared" si="1"/>
        <v>5.6712853400099301E-2</v>
      </c>
      <c r="M10" s="5">
        <v>0.16520000000000001</v>
      </c>
    </row>
    <row r="11" spans="2:13">
      <c r="B11" s="1" t="s">
        <v>9</v>
      </c>
      <c r="C11" s="4">
        <v>60</v>
      </c>
      <c r="D11" s="5" t="s">
        <v>15</v>
      </c>
      <c r="F11" s="1" t="s">
        <v>27</v>
      </c>
      <c r="G11" s="9">
        <f>G10/G5</f>
        <v>0.12548853364627033</v>
      </c>
      <c r="H11" s="5" t="s">
        <v>28</v>
      </c>
      <c r="J11" s="5">
        <v>14</v>
      </c>
      <c r="K11" s="7">
        <f t="shared" si="0"/>
        <v>0.80133333333333323</v>
      </c>
      <c r="L11" s="7">
        <f t="shared" si="1"/>
        <v>5.0555592694015314E-2</v>
      </c>
      <c r="M11" s="5">
        <v>0.16520000000000001</v>
      </c>
    </row>
    <row r="12" spans="2:13">
      <c r="B12" s="1" t="s">
        <v>10</v>
      </c>
      <c r="C12" s="4">
        <v>20</v>
      </c>
      <c r="D12" s="5"/>
      <c r="J12" s="5">
        <v>15</v>
      </c>
      <c r="K12" s="7">
        <f t="shared" si="0"/>
        <v>0.8883333333333332</v>
      </c>
      <c r="L12" s="7">
        <f t="shared" si="1"/>
        <v>4.5604369544620188E-2</v>
      </c>
      <c r="M12" s="5">
        <v>0.16520000000000001</v>
      </c>
    </row>
    <row r="28" spans="6:7">
      <c r="F28" s="2" t="s">
        <v>33</v>
      </c>
      <c r="G28" s="2"/>
    </row>
    <row r="29" spans="6:7">
      <c r="F29" s="3" t="s">
        <v>31</v>
      </c>
      <c r="G29" s="7">
        <f>$G$10/($G$3*1000*8760*(0.087*G30-$C$4*1000/$C$11^2))</f>
        <v>0.16519937667540605</v>
      </c>
    </row>
    <row r="30" spans="6:7">
      <c r="F30" s="3" t="s">
        <v>32</v>
      </c>
      <c r="G30" s="7">
        <v>7.60801033950532</v>
      </c>
    </row>
  </sheetData>
  <mergeCells count="3">
    <mergeCell ref="B2:D2"/>
    <mergeCell ref="F2:H2"/>
    <mergeCell ref="F28:G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2020-05-27T08:44:41Z</dcterms:modified>
</cp:coreProperties>
</file>