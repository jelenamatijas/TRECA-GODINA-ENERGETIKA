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16" i="1"/>
  <c r="E15"/>
  <c r="E14"/>
  <c r="E1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"/>
  <c r="B2"/>
</calcChain>
</file>

<file path=xl/sharedStrings.xml><?xml version="1.0" encoding="utf-8"?>
<sst xmlns="http://schemas.openxmlformats.org/spreadsheetml/2006/main" count="15" uniqueCount="13">
  <si>
    <t>Vx</t>
  </si>
  <si>
    <t>f(Vx)</t>
  </si>
  <si>
    <t>k</t>
  </si>
  <si>
    <t>c</t>
  </si>
  <si>
    <t>Podaci</t>
  </si>
  <si>
    <t>v2</t>
  </si>
  <si>
    <t>v1</t>
  </si>
  <si>
    <t>vsr</t>
  </si>
  <si>
    <t>m/s</t>
  </si>
  <si>
    <t>P(v&lt;v1)</t>
  </si>
  <si>
    <t>P(v&lt;v2)</t>
  </si>
  <si>
    <t>p(v1&lt;v&lt;v2)</t>
  </si>
  <si>
    <t>T(v1&lt;v&lt;v2)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</si>
</sst>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>
        <c:manualLayout>
          <c:layoutTarget val="inner"/>
          <c:xMode val="edge"/>
          <c:yMode val="edge"/>
          <c:x val="7.9113298337707791E-2"/>
          <c:y val="5.1400554097404488E-2"/>
          <c:w val="0.69225328083989501"/>
          <c:h val="0.8326195683872849"/>
        </c:manualLayout>
      </c:layout>
      <c:lineChart>
        <c:grouping val="stacked"/>
        <c:ser>
          <c:idx val="0"/>
          <c:order val="0"/>
          <c:marker>
            <c:symbol val="none"/>
          </c:marker>
          <c:val>
            <c:numRef>
              <c:f>Sheet1!$B$2:$B$36</c:f>
              <c:numCache>
                <c:formatCode>General</c:formatCode>
                <c:ptCount val="35"/>
                <c:pt idx="0">
                  <c:v>0</c:v>
                </c:pt>
                <c:pt idx="1">
                  <c:v>1.5595473389198262E-2</c:v>
                </c:pt>
                <c:pt idx="2">
                  <c:v>3.046413522704321E-2</c:v>
                </c:pt>
                <c:pt idx="3">
                  <c:v>4.3935334944567084E-2</c:v>
                </c:pt>
                <c:pt idx="4">
                  <c:v>5.544469995000658E-2</c:v>
                </c:pt>
                <c:pt idx="5">
                  <c:v>6.4572996626626467E-2</c:v>
                </c:pt>
                <c:pt idx="6">
                  <c:v>7.1070048024850993E-2</c:v>
                </c:pt>
                <c:pt idx="7">
                  <c:v>7.4861987257436355E-2</c:v>
                </c:pt>
                <c:pt idx="8">
                  <c:v>7.6042219203437622E-2</c:v>
                </c:pt>
                <c:pt idx="9">
                  <c:v>7.4848365462763078E-2</c:v>
                </c:pt>
                <c:pt idx="10">
                  <c:v>7.1628912558518235E-2</c:v>
                </c:pt>
                <c:pt idx="11">
                  <c:v>6.6804100546332137E-2</c:v>
                </c:pt>
                <c:pt idx="12">
                  <c:v>6.0825724570829465E-2</c:v>
                </c:pt>
                <c:pt idx="13">
                  <c:v>5.4140035686803895E-2</c:v>
                </c:pt>
                <c:pt idx="14">
                  <c:v>4.7156970033837078E-2</c:v>
                </c:pt>
                <c:pt idx="15">
                  <c:v>4.0227710765730063E-2</c:v>
                </c:pt>
                <c:pt idx="16">
                  <c:v>3.3631309412178519E-2</c:v>
                </c:pt>
                <c:pt idx="17">
                  <c:v>2.7569950136870466E-2</c:v>
                </c:pt>
                <c:pt idx="18">
                  <c:v>2.2171565594387928E-2</c:v>
                </c:pt>
                <c:pt idx="19">
                  <c:v>1.7497974711138911E-2</c:v>
                </c:pt>
                <c:pt idx="20">
                  <c:v>1.3556514354134051E-2</c:v>
                </c:pt>
                <c:pt idx="21">
                  <c:v>1.0313230577120618E-2</c:v>
                </c:pt>
                <c:pt idx="22">
                  <c:v>7.7060005400750361E-3</c:v>
                </c:pt>
                <c:pt idx="23">
                  <c:v>5.6563808465785355E-3</c:v>
                </c:pt>
                <c:pt idx="24">
                  <c:v>4.0794351406991877E-3</c:v>
                </c:pt>
                <c:pt idx="25">
                  <c:v>2.8912145097382213E-3</c:v>
                </c:pt>
                <c:pt idx="26">
                  <c:v>2.0139037029872813E-3</c:v>
                </c:pt>
                <c:pt idx="27">
                  <c:v>1.378883879368795E-3</c:v>
                </c:pt>
                <c:pt idx="28">
                  <c:v>9.2809849900666263E-4</c:v>
                </c:pt>
                <c:pt idx="29">
                  <c:v>6.1415738288629292E-4</c:v>
                </c:pt>
                <c:pt idx="30">
                  <c:v>3.9959689511285927E-4</c:v>
                </c:pt>
                <c:pt idx="31">
                  <c:v>2.556555626691388E-4</c:v>
                </c:pt>
                <c:pt idx="32">
                  <c:v>1.608458147782045E-4</c:v>
                </c:pt>
                <c:pt idx="33">
                  <c:v>9.9520715929440795E-5</c:v>
                </c:pt>
                <c:pt idx="34">
                  <c:v>6.056082251756191E-5</c:v>
                </c:pt>
              </c:numCache>
            </c:numRef>
          </c:val>
        </c:ser>
        <c:marker val="1"/>
        <c:axId val="51754880"/>
        <c:axId val="51756416"/>
      </c:lineChart>
      <c:catAx>
        <c:axId val="51754880"/>
        <c:scaling>
          <c:orientation val="minMax"/>
        </c:scaling>
        <c:axPos val="b"/>
        <c:tickLblPos val="nextTo"/>
        <c:crossAx val="51756416"/>
        <c:crosses val="autoZero"/>
        <c:auto val="1"/>
        <c:lblAlgn val="ctr"/>
        <c:lblOffset val="100"/>
      </c:catAx>
      <c:valAx>
        <c:axId val="51756416"/>
        <c:scaling>
          <c:orientation val="minMax"/>
        </c:scaling>
        <c:axPos val="l"/>
        <c:majorGridlines/>
        <c:numFmt formatCode="General" sourceLinked="1"/>
        <c:tickLblPos val="nextTo"/>
        <c:crossAx val="517548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200025</xdr:colOff>
      <xdr:row>1</xdr:row>
      <xdr:rowOff>95250</xdr:rowOff>
    </xdr:from>
    <xdr:to>
      <xdr:col>20</xdr:col>
      <xdr:colOff>504825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>
      <selection activeCell="I23" sqref="I23"/>
    </sheetView>
  </sheetViews>
  <sheetFormatPr defaultRowHeight="15"/>
  <cols>
    <col min="2" max="2" width="9.140625" customWidth="1"/>
    <col min="4" max="4" width="11.5703125" customWidth="1"/>
    <col min="5" max="5" width="13.7109375" bestFit="1" customWidth="1"/>
  </cols>
  <sheetData>
    <row r="1" spans="1:6">
      <c r="A1" s="3" t="s">
        <v>0</v>
      </c>
      <c r="B1" s="3" t="s">
        <v>1</v>
      </c>
    </row>
    <row r="2" spans="1:6">
      <c r="A2" s="1">
        <v>0</v>
      </c>
      <c r="B2" s="1">
        <f>WEIBULL(A2,E2,E4,FALSE)</f>
        <v>0</v>
      </c>
      <c r="D2" s="3" t="s">
        <v>2</v>
      </c>
      <c r="E2" s="1">
        <v>2</v>
      </c>
    </row>
    <row r="3" spans="1:6">
      <c r="A3" s="1">
        <v>1</v>
      </c>
      <c r="B3" s="1">
        <f>WEIBULL(A3,$E$2,$E$4,FALSE)</f>
        <v>1.5595473389198262E-2</v>
      </c>
      <c r="D3" s="3"/>
      <c r="E3" s="1"/>
    </row>
    <row r="4" spans="1:6">
      <c r="A4" s="1">
        <v>2</v>
      </c>
      <c r="B4" s="1">
        <f t="shared" ref="B4:B36" si="0">WEIBULL(A4,$E$2,$E$4,FALSE)</f>
        <v>3.046413522704321E-2</v>
      </c>
      <c r="D4" s="3" t="s">
        <v>3</v>
      </c>
      <c r="E4" s="1">
        <v>11.28</v>
      </c>
    </row>
    <row r="5" spans="1:6">
      <c r="A5" s="1">
        <v>3</v>
      </c>
      <c r="B5" s="1">
        <f t="shared" si="0"/>
        <v>4.3935334944567084E-2</v>
      </c>
    </row>
    <row r="6" spans="1:6">
      <c r="A6" s="1">
        <v>4</v>
      </c>
      <c r="B6" s="1">
        <f t="shared" si="0"/>
        <v>5.544469995000658E-2</v>
      </c>
    </row>
    <row r="7" spans="1:6">
      <c r="A7" s="1">
        <v>5</v>
      </c>
      <c r="B7" s="1">
        <f t="shared" si="0"/>
        <v>6.4572996626626467E-2</v>
      </c>
      <c r="D7" s="2" t="s">
        <v>4</v>
      </c>
      <c r="E7" s="2"/>
      <c r="F7" s="2"/>
    </row>
    <row r="8" spans="1:6">
      <c r="A8" s="1">
        <v>6</v>
      </c>
      <c r="B8" s="1">
        <f t="shared" si="0"/>
        <v>7.1070048024850993E-2</v>
      </c>
      <c r="D8" s="1" t="s">
        <v>6</v>
      </c>
      <c r="E8" s="1">
        <v>3</v>
      </c>
      <c r="F8" s="1" t="s">
        <v>8</v>
      </c>
    </row>
    <row r="9" spans="1:6">
      <c r="A9" s="1">
        <v>7</v>
      </c>
      <c r="B9" s="1">
        <f t="shared" si="0"/>
        <v>7.4861987257436355E-2</v>
      </c>
      <c r="D9" s="1" t="s">
        <v>5</v>
      </c>
      <c r="E9" s="1">
        <v>6</v>
      </c>
      <c r="F9" s="1" t="s">
        <v>8</v>
      </c>
    </row>
    <row r="10" spans="1:6">
      <c r="A10" s="1">
        <v>8</v>
      </c>
      <c r="B10" s="1">
        <f t="shared" si="0"/>
        <v>7.6042219203437622E-2</v>
      </c>
      <c r="D10" s="1" t="s">
        <v>7</v>
      </c>
      <c r="E10" s="1">
        <v>10</v>
      </c>
      <c r="F10" s="1" t="s">
        <v>8</v>
      </c>
    </row>
    <row r="11" spans="1:6">
      <c r="A11" s="1">
        <v>9</v>
      </c>
      <c r="B11" s="1">
        <f t="shared" si="0"/>
        <v>7.4848365462763078E-2</v>
      </c>
    </row>
    <row r="12" spans="1:6">
      <c r="A12" s="1">
        <v>10</v>
      </c>
      <c r="B12" s="1">
        <f t="shared" si="0"/>
        <v>7.1628912558518235E-2</v>
      </c>
    </row>
    <row r="13" spans="1:6">
      <c r="A13" s="1">
        <v>11</v>
      </c>
      <c r="B13" s="1">
        <f t="shared" si="0"/>
        <v>6.6804100546332137E-2</v>
      </c>
      <c r="D13" s="3" t="s">
        <v>9</v>
      </c>
      <c r="E13" s="4">
        <f>WEIBULL(E8,$E$2,$E$4,TRUE)</f>
        <v>6.8289713031532862E-2</v>
      </c>
    </row>
    <row r="14" spans="1:6">
      <c r="A14" s="1">
        <v>12</v>
      </c>
      <c r="B14" s="1">
        <f t="shared" si="0"/>
        <v>6.0825724570829465E-2</v>
      </c>
      <c r="D14" s="3" t="s">
        <v>10</v>
      </c>
      <c r="E14" s="4">
        <f>WEIBULL(E9,$E$2,$E$4,TRUE)</f>
        <v>0.24643006678290003</v>
      </c>
    </row>
    <row r="15" spans="1:6">
      <c r="A15" s="1">
        <v>13</v>
      </c>
      <c r="B15" s="1">
        <f t="shared" si="0"/>
        <v>5.4140035686803895E-2</v>
      </c>
      <c r="D15" s="3" t="s">
        <v>11</v>
      </c>
      <c r="E15" s="4">
        <f>E14-E13</f>
        <v>0.17814035375136716</v>
      </c>
    </row>
    <row r="16" spans="1:6">
      <c r="A16" s="1">
        <v>14</v>
      </c>
      <c r="B16" s="1">
        <f t="shared" si="0"/>
        <v>4.7156970033837078E-2</v>
      </c>
      <c r="D16" s="3" t="s">
        <v>12</v>
      </c>
      <c r="E16" s="4">
        <f>8760*$E$15</f>
        <v>1560.5094988619765</v>
      </c>
    </row>
    <row r="17" spans="1:2">
      <c r="A17" s="1">
        <v>15</v>
      </c>
      <c r="B17" s="1">
        <f t="shared" si="0"/>
        <v>4.0227710765730063E-2</v>
      </c>
    </row>
    <row r="18" spans="1:2">
      <c r="A18" s="1">
        <v>16</v>
      </c>
      <c r="B18" s="1">
        <f t="shared" si="0"/>
        <v>3.3631309412178519E-2</v>
      </c>
    </row>
    <row r="19" spans="1:2">
      <c r="A19" s="1">
        <v>17</v>
      </c>
      <c r="B19" s="1">
        <f t="shared" si="0"/>
        <v>2.7569950136870466E-2</v>
      </c>
    </row>
    <row r="20" spans="1:2">
      <c r="A20" s="1">
        <v>18</v>
      </c>
      <c r="B20" s="1">
        <f t="shared" si="0"/>
        <v>2.2171565594387928E-2</v>
      </c>
    </row>
    <row r="21" spans="1:2">
      <c r="A21" s="1">
        <v>19</v>
      </c>
      <c r="B21" s="1">
        <f t="shared" si="0"/>
        <v>1.7497974711138911E-2</v>
      </c>
    </row>
    <row r="22" spans="1:2">
      <c r="A22" s="1">
        <v>20</v>
      </c>
      <c r="B22" s="1">
        <f t="shared" si="0"/>
        <v>1.3556514354134051E-2</v>
      </c>
    </row>
    <row r="23" spans="1:2">
      <c r="A23" s="1">
        <v>21</v>
      </c>
      <c r="B23" s="1">
        <f t="shared" si="0"/>
        <v>1.0313230577120618E-2</v>
      </c>
    </row>
    <row r="24" spans="1:2">
      <c r="A24" s="1">
        <v>22</v>
      </c>
      <c r="B24" s="1">
        <f t="shared" si="0"/>
        <v>7.7060005400750361E-3</v>
      </c>
    </row>
    <row r="25" spans="1:2">
      <c r="A25" s="1">
        <v>23</v>
      </c>
      <c r="B25" s="1">
        <f t="shared" si="0"/>
        <v>5.6563808465785355E-3</v>
      </c>
    </row>
    <row r="26" spans="1:2">
      <c r="A26" s="1">
        <v>24</v>
      </c>
      <c r="B26" s="1">
        <f t="shared" si="0"/>
        <v>4.0794351406991877E-3</v>
      </c>
    </row>
    <row r="27" spans="1:2">
      <c r="A27" s="1">
        <v>25</v>
      </c>
      <c r="B27" s="1">
        <f t="shared" si="0"/>
        <v>2.8912145097382213E-3</v>
      </c>
    </row>
    <row r="28" spans="1:2">
      <c r="A28" s="1">
        <v>26</v>
      </c>
      <c r="B28" s="1">
        <f t="shared" si="0"/>
        <v>2.0139037029872813E-3</v>
      </c>
    </row>
    <row r="29" spans="1:2">
      <c r="A29" s="1">
        <v>27</v>
      </c>
      <c r="B29" s="1">
        <f t="shared" si="0"/>
        <v>1.378883879368795E-3</v>
      </c>
    </row>
    <row r="30" spans="1:2">
      <c r="A30" s="1">
        <v>28</v>
      </c>
      <c r="B30" s="1">
        <f t="shared" si="0"/>
        <v>9.2809849900666263E-4</v>
      </c>
    </row>
    <row r="31" spans="1:2">
      <c r="A31" s="1">
        <v>29</v>
      </c>
      <c r="B31" s="1">
        <f t="shared" si="0"/>
        <v>6.1415738288629292E-4</v>
      </c>
    </row>
    <row r="32" spans="1:2">
      <c r="A32" s="1">
        <v>30</v>
      </c>
      <c r="B32" s="1">
        <f t="shared" si="0"/>
        <v>3.9959689511285927E-4</v>
      </c>
    </row>
    <row r="33" spans="1:2">
      <c r="A33" s="1">
        <v>31</v>
      </c>
      <c r="B33" s="1">
        <f t="shared" si="0"/>
        <v>2.556555626691388E-4</v>
      </c>
    </row>
    <row r="34" spans="1:2">
      <c r="A34" s="1">
        <v>32</v>
      </c>
      <c r="B34" s="1">
        <f t="shared" si="0"/>
        <v>1.608458147782045E-4</v>
      </c>
    </row>
    <row r="35" spans="1:2">
      <c r="A35" s="1">
        <v>33</v>
      </c>
      <c r="B35" s="1">
        <f t="shared" si="0"/>
        <v>9.9520715929440795E-5</v>
      </c>
    </row>
    <row r="36" spans="1:2">
      <c r="A36" s="1">
        <v>34</v>
      </c>
      <c r="B36" s="1">
        <f t="shared" si="0"/>
        <v>6.056082251756191E-5</v>
      </c>
    </row>
  </sheetData>
  <mergeCells count="1">
    <mergeCell ref="D7:F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2020-05-26T19:42:03Z</dcterms:modified>
</cp:coreProperties>
</file>