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9" i="1"/>
  <c r="I8"/>
  <c r="I7"/>
  <c r="I6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"/>
</calcChain>
</file>

<file path=xl/sharedStrings.xml><?xml version="1.0" encoding="utf-8"?>
<sst xmlns="http://schemas.openxmlformats.org/spreadsheetml/2006/main" count="15" uniqueCount="13">
  <si>
    <t>v(m/s)</t>
  </si>
  <si>
    <t>t(h/god)</t>
  </si>
  <si>
    <t>v*t</t>
  </si>
  <si>
    <t>v^3</t>
  </si>
  <si>
    <t>v^3*t</t>
  </si>
  <si>
    <t>Gustina vazduha</t>
  </si>
  <si>
    <t>kg/m3</t>
  </si>
  <si>
    <t>Srednja vrijednost brzine</t>
  </si>
  <si>
    <t>m/s</t>
  </si>
  <si>
    <t>Efektivna vrijednost brzine</t>
  </si>
  <si>
    <t>Srednja godisnja gustina snage vjetra</t>
  </si>
  <si>
    <t>W/m2</t>
  </si>
  <si>
    <t>Pogresna srednja godisnja gustina snage vjetra</t>
  </si>
</sst>
</file>

<file path=xl/styles.xml><?xml version="1.0" encoding="utf-8"?>
<styleSheet xmlns="http://schemas.openxmlformats.org/spreadsheetml/2006/main">
  <numFmts count="1">
    <numFmt numFmtId="170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170" fontId="0" fillId="3" borderId="0" xfId="0" applyNumberFormat="1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barChart>
        <c:barDir val="col"/>
        <c:grouping val="clustered"/>
        <c:ser>
          <c:idx val="0"/>
          <c:order val="0"/>
          <c:val>
            <c:numRef>
              <c:f>Sheet1!$B$2:$B$27</c:f>
              <c:numCache>
                <c:formatCode>General</c:formatCode>
                <c:ptCount val="26"/>
                <c:pt idx="0">
                  <c:v>27</c:v>
                </c:pt>
                <c:pt idx="1">
                  <c:v>276</c:v>
                </c:pt>
                <c:pt idx="2">
                  <c:v>527</c:v>
                </c:pt>
                <c:pt idx="3">
                  <c:v>729</c:v>
                </c:pt>
                <c:pt idx="4">
                  <c:v>869</c:v>
                </c:pt>
                <c:pt idx="5">
                  <c:v>941</c:v>
                </c:pt>
                <c:pt idx="6">
                  <c:v>946</c:v>
                </c:pt>
                <c:pt idx="7">
                  <c:v>896</c:v>
                </c:pt>
                <c:pt idx="8">
                  <c:v>805</c:v>
                </c:pt>
                <c:pt idx="9">
                  <c:v>690</c:v>
                </c:pt>
                <c:pt idx="10">
                  <c:v>565</c:v>
                </c:pt>
                <c:pt idx="11">
                  <c:v>444</c:v>
                </c:pt>
                <c:pt idx="12">
                  <c:v>335</c:v>
                </c:pt>
                <c:pt idx="13">
                  <c:v>243</c:v>
                </c:pt>
                <c:pt idx="14">
                  <c:v>170</c:v>
                </c:pt>
                <c:pt idx="15">
                  <c:v>114</c:v>
                </c:pt>
                <c:pt idx="16">
                  <c:v>74</c:v>
                </c:pt>
                <c:pt idx="17">
                  <c:v>46</c:v>
                </c:pt>
                <c:pt idx="18">
                  <c:v>28</c:v>
                </c:pt>
                <c:pt idx="19">
                  <c:v>16</c:v>
                </c:pt>
                <c:pt idx="20">
                  <c:v>9</c:v>
                </c:pt>
                <c:pt idx="21">
                  <c:v>5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axId val="52115328"/>
        <c:axId val="52116864"/>
      </c:barChart>
      <c:catAx>
        <c:axId val="52115328"/>
        <c:scaling>
          <c:orientation val="minMax"/>
        </c:scaling>
        <c:axPos val="b"/>
        <c:tickLblPos val="nextTo"/>
        <c:crossAx val="52116864"/>
        <c:crosses val="autoZero"/>
        <c:auto val="1"/>
        <c:lblAlgn val="ctr"/>
        <c:lblOffset val="100"/>
      </c:catAx>
      <c:valAx>
        <c:axId val="52116864"/>
        <c:scaling>
          <c:orientation val="minMax"/>
        </c:scaling>
        <c:axPos val="l"/>
        <c:majorGridlines/>
        <c:numFmt formatCode="General" sourceLinked="1"/>
        <c:tickLblPos val="nextTo"/>
        <c:crossAx val="521153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11</xdr:row>
      <xdr:rowOff>171450</xdr:rowOff>
    </xdr:from>
    <xdr:to>
      <xdr:col>10</xdr:col>
      <xdr:colOff>219075</xdr:colOff>
      <xdr:row>26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selection activeCell="K11" sqref="K11"/>
    </sheetView>
  </sheetViews>
  <sheetFormatPr defaultRowHeight="15"/>
  <cols>
    <col min="8" max="8" width="41.85546875" customWidth="1"/>
    <col min="9" max="9" width="15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s="2">
        <v>0</v>
      </c>
      <c r="B2" s="2">
        <v>27</v>
      </c>
      <c r="C2" s="2">
        <f>A2*B2</f>
        <v>0</v>
      </c>
      <c r="D2" s="2">
        <f>A2^3</f>
        <v>0</v>
      </c>
      <c r="E2" s="2">
        <f>D2*B2</f>
        <v>0</v>
      </c>
    </row>
    <row r="3" spans="1:10">
      <c r="A3" s="2">
        <v>1</v>
      </c>
      <c r="B3" s="2">
        <v>276</v>
      </c>
      <c r="C3" s="2">
        <f t="shared" ref="C3:C27" si="0">A3*B3</f>
        <v>276</v>
      </c>
      <c r="D3" s="2">
        <f t="shared" ref="D3:D27" si="1">A3^3</f>
        <v>1</v>
      </c>
      <c r="E3" s="2">
        <f t="shared" ref="E3:E27" si="2">D3*B3</f>
        <v>276</v>
      </c>
    </row>
    <row r="4" spans="1:10">
      <c r="A4" s="2">
        <v>2</v>
      </c>
      <c r="B4" s="2">
        <v>527</v>
      </c>
      <c r="C4" s="2">
        <f t="shared" si="0"/>
        <v>1054</v>
      </c>
      <c r="D4" s="2">
        <f t="shared" si="1"/>
        <v>8</v>
      </c>
      <c r="E4" s="2">
        <f t="shared" si="2"/>
        <v>4216</v>
      </c>
    </row>
    <row r="5" spans="1:10">
      <c r="A5" s="2">
        <v>3</v>
      </c>
      <c r="B5" s="2">
        <v>729</v>
      </c>
      <c r="C5" s="2">
        <f t="shared" si="0"/>
        <v>2187</v>
      </c>
      <c r="D5" s="2">
        <f t="shared" si="1"/>
        <v>27</v>
      </c>
      <c r="E5" s="2">
        <f t="shared" si="2"/>
        <v>19683</v>
      </c>
      <c r="H5" s="1" t="s">
        <v>5</v>
      </c>
      <c r="I5" s="3">
        <v>1.2250000000000001</v>
      </c>
      <c r="J5" s="2" t="s">
        <v>6</v>
      </c>
    </row>
    <row r="6" spans="1:10">
      <c r="A6" s="2">
        <v>4</v>
      </c>
      <c r="B6" s="2">
        <v>869</v>
      </c>
      <c r="C6" s="2">
        <f t="shared" si="0"/>
        <v>3476</v>
      </c>
      <c r="D6" s="2">
        <f t="shared" si="1"/>
        <v>64</v>
      </c>
      <c r="E6" s="2">
        <f t="shared" si="2"/>
        <v>55616</v>
      </c>
      <c r="H6" s="1" t="s">
        <v>7</v>
      </c>
      <c r="I6" s="4">
        <f>SUM(C2:C27)/8760</f>
        <v>6.9944063926940636</v>
      </c>
      <c r="J6" s="2" t="s">
        <v>8</v>
      </c>
    </row>
    <row r="7" spans="1:10">
      <c r="A7" s="2">
        <v>5</v>
      </c>
      <c r="B7" s="2">
        <v>941</v>
      </c>
      <c r="C7" s="2">
        <f t="shared" si="0"/>
        <v>4705</v>
      </c>
      <c r="D7" s="2">
        <f t="shared" si="1"/>
        <v>125</v>
      </c>
      <c r="E7" s="2">
        <f t="shared" si="2"/>
        <v>117625</v>
      </c>
      <c r="H7" s="1" t="s">
        <v>9</v>
      </c>
      <c r="I7" s="4">
        <f>(SUM(E2:E27)/8760)^(1/3)</f>
        <v>8.6768584561785804</v>
      </c>
      <c r="J7" s="2" t="s">
        <v>8</v>
      </c>
    </row>
    <row r="8" spans="1:10">
      <c r="A8" s="2">
        <v>6</v>
      </c>
      <c r="B8" s="2">
        <v>946</v>
      </c>
      <c r="C8" s="2">
        <f t="shared" si="0"/>
        <v>5676</v>
      </c>
      <c r="D8" s="2">
        <f t="shared" si="1"/>
        <v>216</v>
      </c>
      <c r="E8" s="2">
        <f t="shared" si="2"/>
        <v>204336</v>
      </c>
      <c r="H8" s="1" t="s">
        <v>10</v>
      </c>
      <c r="I8" s="4">
        <f>0.5*I5*I7^3</f>
        <v>400.12310644977129</v>
      </c>
      <c r="J8" s="2" t="s">
        <v>11</v>
      </c>
    </row>
    <row r="9" spans="1:10">
      <c r="A9" s="2">
        <v>7</v>
      </c>
      <c r="B9" s="2">
        <v>896</v>
      </c>
      <c r="C9" s="2">
        <f t="shared" si="0"/>
        <v>6272</v>
      </c>
      <c r="D9" s="2">
        <f t="shared" si="1"/>
        <v>343</v>
      </c>
      <c r="E9" s="2">
        <f t="shared" si="2"/>
        <v>307328</v>
      </c>
      <c r="H9" s="1" t="s">
        <v>12</v>
      </c>
      <c r="I9" s="4">
        <f>0.5*I5*I6^3</f>
        <v>209.58426792258905</v>
      </c>
      <c r="J9" s="2" t="s">
        <v>11</v>
      </c>
    </row>
    <row r="10" spans="1:10">
      <c r="A10" s="2">
        <v>8</v>
      </c>
      <c r="B10" s="2">
        <v>805</v>
      </c>
      <c r="C10" s="2">
        <f t="shared" si="0"/>
        <v>6440</v>
      </c>
      <c r="D10" s="2">
        <f t="shared" si="1"/>
        <v>512</v>
      </c>
      <c r="E10" s="2">
        <f t="shared" si="2"/>
        <v>412160</v>
      </c>
    </row>
    <row r="11" spans="1:10">
      <c r="A11" s="2">
        <v>9</v>
      </c>
      <c r="B11" s="2">
        <v>690</v>
      </c>
      <c r="C11" s="2">
        <f t="shared" si="0"/>
        <v>6210</v>
      </c>
      <c r="D11" s="2">
        <f t="shared" si="1"/>
        <v>729</v>
      </c>
      <c r="E11" s="2">
        <f t="shared" si="2"/>
        <v>503010</v>
      </c>
    </row>
    <row r="12" spans="1:10">
      <c r="A12" s="2">
        <v>10</v>
      </c>
      <c r="B12" s="2">
        <v>565</v>
      </c>
      <c r="C12" s="2">
        <f t="shared" si="0"/>
        <v>5650</v>
      </c>
      <c r="D12" s="2">
        <f t="shared" si="1"/>
        <v>1000</v>
      </c>
      <c r="E12" s="2">
        <f t="shared" si="2"/>
        <v>565000</v>
      </c>
    </row>
    <row r="13" spans="1:10">
      <c r="A13" s="2">
        <v>11</v>
      </c>
      <c r="B13" s="2">
        <v>444</v>
      </c>
      <c r="C13" s="2">
        <f t="shared" si="0"/>
        <v>4884</v>
      </c>
      <c r="D13" s="2">
        <f t="shared" si="1"/>
        <v>1331</v>
      </c>
      <c r="E13" s="2">
        <f t="shared" si="2"/>
        <v>590964</v>
      </c>
    </row>
    <row r="14" spans="1:10">
      <c r="A14" s="2">
        <v>12</v>
      </c>
      <c r="B14" s="2">
        <v>335</v>
      </c>
      <c r="C14" s="2">
        <f t="shared" si="0"/>
        <v>4020</v>
      </c>
      <c r="D14" s="2">
        <f t="shared" si="1"/>
        <v>1728</v>
      </c>
      <c r="E14" s="2">
        <f t="shared" si="2"/>
        <v>578880</v>
      </c>
    </row>
    <row r="15" spans="1:10">
      <c r="A15" s="2">
        <v>13</v>
      </c>
      <c r="B15" s="2">
        <v>243</v>
      </c>
      <c r="C15" s="2">
        <f t="shared" si="0"/>
        <v>3159</v>
      </c>
      <c r="D15" s="2">
        <f t="shared" si="1"/>
        <v>2197</v>
      </c>
      <c r="E15" s="2">
        <f t="shared" si="2"/>
        <v>533871</v>
      </c>
    </row>
    <row r="16" spans="1:10">
      <c r="A16" s="2">
        <v>14</v>
      </c>
      <c r="B16" s="2">
        <v>170</v>
      </c>
      <c r="C16" s="2">
        <f t="shared" si="0"/>
        <v>2380</v>
      </c>
      <c r="D16" s="2">
        <f t="shared" si="1"/>
        <v>2744</v>
      </c>
      <c r="E16" s="2">
        <f t="shared" si="2"/>
        <v>466480</v>
      </c>
    </row>
    <row r="17" spans="1:5">
      <c r="A17" s="2">
        <v>15</v>
      </c>
      <c r="B17" s="2">
        <v>114</v>
      </c>
      <c r="C17" s="2">
        <f t="shared" si="0"/>
        <v>1710</v>
      </c>
      <c r="D17" s="2">
        <f t="shared" si="1"/>
        <v>3375</v>
      </c>
      <c r="E17" s="2">
        <f t="shared" si="2"/>
        <v>384750</v>
      </c>
    </row>
    <row r="18" spans="1:5">
      <c r="A18" s="2">
        <v>16</v>
      </c>
      <c r="B18" s="2">
        <v>74</v>
      </c>
      <c r="C18" s="2">
        <f t="shared" si="0"/>
        <v>1184</v>
      </c>
      <c r="D18" s="2">
        <f t="shared" si="1"/>
        <v>4096</v>
      </c>
      <c r="E18" s="2">
        <f t="shared" si="2"/>
        <v>303104</v>
      </c>
    </row>
    <row r="19" spans="1:5">
      <c r="A19" s="2">
        <v>17</v>
      </c>
      <c r="B19" s="2">
        <v>46</v>
      </c>
      <c r="C19" s="2">
        <f t="shared" si="0"/>
        <v>782</v>
      </c>
      <c r="D19" s="2">
        <f t="shared" si="1"/>
        <v>4913</v>
      </c>
      <c r="E19" s="2">
        <f t="shared" si="2"/>
        <v>225998</v>
      </c>
    </row>
    <row r="20" spans="1:5">
      <c r="A20" s="2">
        <v>18</v>
      </c>
      <c r="B20" s="2">
        <v>28</v>
      </c>
      <c r="C20" s="2">
        <f t="shared" si="0"/>
        <v>504</v>
      </c>
      <c r="D20" s="2">
        <f t="shared" si="1"/>
        <v>5832</v>
      </c>
      <c r="E20" s="2">
        <f t="shared" si="2"/>
        <v>163296</v>
      </c>
    </row>
    <row r="21" spans="1:5">
      <c r="A21" s="2">
        <v>19</v>
      </c>
      <c r="B21" s="2">
        <v>16</v>
      </c>
      <c r="C21" s="2">
        <f t="shared" si="0"/>
        <v>304</v>
      </c>
      <c r="D21" s="2">
        <f t="shared" si="1"/>
        <v>6859</v>
      </c>
      <c r="E21" s="2">
        <f t="shared" si="2"/>
        <v>109744</v>
      </c>
    </row>
    <row r="22" spans="1:5">
      <c r="A22" s="2">
        <v>20</v>
      </c>
      <c r="B22" s="2">
        <v>9</v>
      </c>
      <c r="C22" s="2">
        <f t="shared" si="0"/>
        <v>180</v>
      </c>
      <c r="D22" s="2">
        <f t="shared" si="1"/>
        <v>8000</v>
      </c>
      <c r="E22" s="2">
        <f t="shared" si="2"/>
        <v>72000</v>
      </c>
    </row>
    <row r="23" spans="1:5">
      <c r="A23" s="2">
        <v>21</v>
      </c>
      <c r="B23" s="2">
        <v>5</v>
      </c>
      <c r="C23" s="2">
        <f t="shared" si="0"/>
        <v>105</v>
      </c>
      <c r="D23" s="2">
        <f t="shared" si="1"/>
        <v>9261</v>
      </c>
      <c r="E23" s="2">
        <f t="shared" si="2"/>
        <v>46305</v>
      </c>
    </row>
    <row r="24" spans="1:5">
      <c r="A24" s="2">
        <v>22</v>
      </c>
      <c r="B24" s="2">
        <v>3</v>
      </c>
      <c r="C24" s="2">
        <f t="shared" si="0"/>
        <v>66</v>
      </c>
      <c r="D24" s="2">
        <f t="shared" si="1"/>
        <v>10648</v>
      </c>
      <c r="E24" s="2">
        <f t="shared" si="2"/>
        <v>31944</v>
      </c>
    </row>
    <row r="25" spans="1:5">
      <c r="A25" s="2">
        <v>23</v>
      </c>
      <c r="B25" s="2">
        <v>1</v>
      </c>
      <c r="C25" s="2">
        <f t="shared" si="0"/>
        <v>23</v>
      </c>
      <c r="D25" s="2">
        <f t="shared" si="1"/>
        <v>12167</v>
      </c>
      <c r="E25" s="2">
        <f t="shared" si="2"/>
        <v>12167</v>
      </c>
    </row>
    <row r="26" spans="1:5">
      <c r="A26" s="2">
        <v>24</v>
      </c>
      <c r="B26" s="2">
        <v>1</v>
      </c>
      <c r="C26" s="2">
        <f t="shared" si="0"/>
        <v>24</v>
      </c>
      <c r="D26" s="2">
        <f t="shared" si="1"/>
        <v>13824</v>
      </c>
      <c r="E26" s="2">
        <f t="shared" si="2"/>
        <v>13824</v>
      </c>
    </row>
    <row r="27" spans="1:5">
      <c r="A27" s="2">
        <v>25</v>
      </c>
      <c r="B27" s="2">
        <v>0</v>
      </c>
      <c r="C27" s="2">
        <f t="shared" si="0"/>
        <v>0</v>
      </c>
      <c r="D27" s="2">
        <f t="shared" si="1"/>
        <v>15625</v>
      </c>
      <c r="E27" s="2">
        <f t="shared" si="2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2020-05-26T19:01:57Z</dcterms:modified>
</cp:coreProperties>
</file>