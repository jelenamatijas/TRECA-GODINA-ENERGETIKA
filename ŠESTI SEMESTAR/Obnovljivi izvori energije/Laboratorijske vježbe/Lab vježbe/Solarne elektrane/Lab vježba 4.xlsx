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 activeTab="1"/>
  </bookViews>
  <sheets>
    <sheet name="Zadatak_41" sheetId="1" r:id="rId1"/>
    <sheet name="Zadatak_42" sheetId="2" r:id="rId2"/>
  </sheets>
  <definedNames>
    <definedName name="solver_adj" localSheetId="0" hidden="1">Zadatak_41!$A$44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Zadatak_41!$G$44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</definedName>
    <definedName name="solver_ver" localSheetId="0" hidden="1">3</definedName>
  </definedNames>
  <calcPr calcId="144525"/>
</workbook>
</file>

<file path=xl/calcChain.xml><?xml version="1.0" encoding="utf-8"?>
<calcChain xmlns="http://schemas.openxmlformats.org/spreadsheetml/2006/main">
  <c r="D10" i="2" l="1"/>
  <c r="D11" i="2" s="1"/>
  <c r="B18" i="2"/>
  <c r="C18" i="2"/>
  <c r="D18" i="2" s="1"/>
  <c r="H18" i="2"/>
  <c r="B19" i="2"/>
  <c r="H19" i="2"/>
  <c r="B20" i="2"/>
  <c r="H20" i="2"/>
  <c r="B21" i="2"/>
  <c r="H21" i="2"/>
  <c r="B22" i="2"/>
  <c r="H22" i="2"/>
  <c r="B23" i="2"/>
  <c r="H23" i="2"/>
  <c r="B24" i="2"/>
  <c r="H24" i="2"/>
  <c r="B25" i="2"/>
  <c r="H25" i="2"/>
  <c r="B26" i="2"/>
  <c r="H26" i="2"/>
  <c r="B27" i="2"/>
  <c r="H27" i="2"/>
  <c r="B28" i="2"/>
  <c r="H28" i="2"/>
  <c r="B29" i="2"/>
  <c r="H29" i="2"/>
  <c r="B30" i="2"/>
  <c r="H30" i="2"/>
  <c r="B31" i="2"/>
  <c r="H31" i="2"/>
  <c r="B32" i="2"/>
  <c r="H32" i="2"/>
  <c r="B33" i="2"/>
  <c r="H33" i="2"/>
  <c r="B34" i="2"/>
  <c r="H34" i="2" s="1"/>
  <c r="B35" i="2"/>
  <c r="H35" i="2"/>
  <c r="B36" i="2"/>
  <c r="H36" i="2" s="1"/>
  <c r="I35" i="2" l="1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6" i="2"/>
  <c r="I36" i="2" s="1"/>
  <c r="G40" i="2"/>
  <c r="G35" i="2"/>
  <c r="G39" i="2"/>
  <c r="G34" i="2"/>
  <c r="I34" i="2" s="1"/>
  <c r="G38" i="2"/>
  <c r="G42" i="2"/>
  <c r="G33" i="2"/>
  <c r="G37" i="2"/>
  <c r="G41" i="2"/>
  <c r="I33" i="2"/>
  <c r="B37" i="2"/>
  <c r="D13" i="2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B44" i="1"/>
  <c r="D44" i="1" s="1"/>
  <c r="C44" i="1" s="1"/>
  <c r="G44" i="1" s="1"/>
  <c r="F10" i="1"/>
  <c r="B40" i="1"/>
  <c r="D40" i="1" s="1"/>
  <c r="C40" i="1" s="1"/>
  <c r="E40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D34" i="1" s="1"/>
  <c r="C34" i="1" s="1"/>
  <c r="G4" i="1"/>
  <c r="B10" i="1" s="1"/>
  <c r="D10" i="1" s="1"/>
  <c r="C10" i="1" s="1"/>
  <c r="G44" i="2" l="1"/>
  <c r="H37" i="2"/>
  <c r="B38" i="2"/>
  <c r="I24" i="2"/>
  <c r="E18" i="2"/>
  <c r="E19" i="2"/>
  <c r="E20" i="2"/>
  <c r="E21" i="2"/>
  <c r="E22" i="2"/>
  <c r="E23" i="2"/>
  <c r="I23" i="2" s="1"/>
  <c r="E24" i="2"/>
  <c r="E25" i="2"/>
  <c r="I25" i="2" s="1"/>
  <c r="E26" i="2"/>
  <c r="E27" i="2"/>
  <c r="E28" i="2"/>
  <c r="E29" i="2"/>
  <c r="E30" i="2"/>
  <c r="E31" i="2"/>
  <c r="E32" i="2"/>
  <c r="I21" i="2"/>
  <c r="I18" i="2"/>
  <c r="I27" i="2"/>
  <c r="I22" i="2"/>
  <c r="E44" i="1"/>
  <c r="F44" i="1"/>
  <c r="E44" i="2" l="1"/>
  <c r="F18" i="2"/>
  <c r="I29" i="2"/>
  <c r="I32" i="2"/>
  <c r="I28" i="2"/>
  <c r="I20" i="2"/>
  <c r="B39" i="2"/>
  <c r="H38" i="2"/>
  <c r="I38" i="2" s="1"/>
  <c r="I26" i="2"/>
  <c r="I31" i="2"/>
  <c r="I19" i="2"/>
  <c r="I37" i="2"/>
  <c r="I30" i="2"/>
  <c r="B40" i="2" l="1"/>
  <c r="H39" i="2"/>
  <c r="C19" i="2"/>
  <c r="D19" i="2" l="1"/>
  <c r="I39" i="2"/>
  <c r="H40" i="2"/>
  <c r="I40" i="2" s="1"/>
  <c r="B41" i="2"/>
  <c r="H41" i="2" l="1"/>
  <c r="I41" i="2" s="1"/>
  <c r="I44" i="2" s="1"/>
  <c r="B42" i="2"/>
  <c r="H42" i="2" s="1"/>
  <c r="I42" i="2" s="1"/>
  <c r="F19" i="2"/>
  <c r="C20" i="2" l="1"/>
  <c r="H44" i="2"/>
  <c r="D20" i="2" l="1"/>
  <c r="F20" i="2" l="1"/>
  <c r="C21" i="2" l="1"/>
  <c r="D21" i="2" l="1"/>
  <c r="F21" i="2" l="1"/>
  <c r="C22" i="2" l="1"/>
  <c r="D22" i="2" l="1"/>
  <c r="F22" i="2" s="1"/>
  <c r="C23" i="2" s="1"/>
  <c r="D23" i="2" l="1"/>
  <c r="F23" i="2" s="1"/>
  <c r="C24" i="2" s="1"/>
  <c r="D24" i="2" l="1"/>
  <c r="F24" i="2" s="1"/>
  <c r="C25" i="2" s="1"/>
  <c r="D25" i="2" l="1"/>
  <c r="F25" i="2" s="1"/>
  <c r="C26" i="2" s="1"/>
  <c r="D26" i="2" l="1"/>
  <c r="F26" i="2" s="1"/>
  <c r="C27" i="2" s="1"/>
  <c r="D27" i="2" l="1"/>
  <c r="F27" i="2" s="1"/>
  <c r="C28" i="2" s="1"/>
  <c r="D28" i="2" l="1"/>
  <c r="F28" i="2" s="1"/>
  <c r="C29" i="2" s="1"/>
  <c r="D29" i="2" l="1"/>
  <c r="F29" i="2" s="1"/>
  <c r="C30" i="2" s="1"/>
  <c r="C31" i="2" l="1"/>
  <c r="D30" i="2"/>
  <c r="F30" i="2" s="1"/>
  <c r="D31" i="2" l="1"/>
  <c r="F31" i="2" s="1"/>
  <c r="C32" i="2" s="1"/>
  <c r="D32" i="2" l="1"/>
  <c r="F32" i="2" s="1"/>
  <c r="C33" i="2" s="1"/>
  <c r="D33" i="2" l="1"/>
  <c r="F33" i="2" s="1"/>
  <c r="C34" i="2" s="1"/>
  <c r="D34" i="2" l="1"/>
  <c r="F34" i="2" s="1"/>
  <c r="C35" i="2" s="1"/>
  <c r="D35" i="2" l="1"/>
  <c r="F35" i="2" s="1"/>
  <c r="C36" i="2" s="1"/>
  <c r="C37" i="2" l="1"/>
  <c r="D36" i="2"/>
  <c r="F36" i="2" s="1"/>
  <c r="D37" i="2" l="1"/>
  <c r="F37" i="2" s="1"/>
  <c r="C38" i="2" s="1"/>
  <c r="D38" i="2" l="1"/>
  <c r="F38" i="2" s="1"/>
  <c r="C39" i="2" s="1"/>
  <c r="C40" i="2" l="1"/>
  <c r="D39" i="2"/>
  <c r="F39" i="2" s="1"/>
  <c r="D40" i="2" l="1"/>
  <c r="F40" i="2" s="1"/>
  <c r="C41" i="2"/>
  <c r="D41" i="2" l="1"/>
  <c r="F41" i="2" s="1"/>
  <c r="C42" i="2" s="1"/>
  <c r="D42" i="2" s="1"/>
  <c r="F42" i="2" l="1"/>
  <c r="F44" i="2" s="1"/>
  <c r="D44" i="2"/>
</calcChain>
</file>

<file path=xl/sharedStrings.xml><?xml version="1.0" encoding="utf-8"?>
<sst xmlns="http://schemas.openxmlformats.org/spreadsheetml/2006/main" count="66" uniqueCount="49">
  <si>
    <t>Rp</t>
  </si>
  <si>
    <t>Rs</t>
  </si>
  <si>
    <t>I0</t>
  </si>
  <si>
    <t>Iks</t>
  </si>
  <si>
    <t>N</t>
  </si>
  <si>
    <t>R</t>
  </si>
  <si>
    <t>Ω</t>
  </si>
  <si>
    <t>A</t>
  </si>
  <si>
    <t>Ulazni podaci</t>
  </si>
  <si>
    <t>Ud</t>
  </si>
  <si>
    <t>Id</t>
  </si>
  <si>
    <t>Upv</t>
  </si>
  <si>
    <t>Ipv</t>
  </si>
  <si>
    <t>q</t>
  </si>
  <si>
    <t>k</t>
  </si>
  <si>
    <t>C</t>
  </si>
  <si>
    <t>J/K</t>
  </si>
  <si>
    <t>T</t>
  </si>
  <si>
    <t>K</t>
  </si>
  <si>
    <t>Ppv</t>
  </si>
  <si>
    <t>Ir</t>
  </si>
  <si>
    <t>Zarada [KM]</t>
  </si>
  <si>
    <t>Prihod od prodaje el. Energije [KM]</t>
  </si>
  <si>
    <t>M&amp;O [KM]</t>
  </si>
  <si>
    <t>Otplata [KM]</t>
  </si>
  <si>
    <t>Rata [KM]</t>
  </si>
  <si>
    <t>Kamata [KM]</t>
  </si>
  <si>
    <t>Dug [KM]</t>
  </si>
  <si>
    <t>Proizvodnja [kW]</t>
  </si>
  <si>
    <t>Godina</t>
  </si>
  <si>
    <t>KM</t>
  </si>
  <si>
    <t>Rata kredita</t>
  </si>
  <si>
    <t>KM/kWh</t>
  </si>
  <si>
    <t>Zagarantovana cijena</t>
  </si>
  <si>
    <t>M&amp;O</t>
  </si>
  <si>
    <t>Investicija</t>
  </si>
  <si>
    <t>god</t>
  </si>
  <si>
    <t>Broj godina kredita</t>
  </si>
  <si>
    <t>Kamatna stopa</t>
  </si>
  <si>
    <t>Eksploatacija i održavanje</t>
  </si>
  <si>
    <t>°</t>
  </si>
  <si>
    <t>Optimalan ugao</t>
  </si>
  <si>
    <t>Pad proizvodnje</t>
  </si>
  <si>
    <t>kWh</t>
  </si>
  <si>
    <t>Godišnja proizvodnja</t>
  </si>
  <si>
    <t>kW</t>
  </si>
  <si>
    <t>Snaga PV sistema</t>
  </si>
  <si>
    <t>KM/kW</t>
  </si>
  <si>
    <t>Kapitalni troškovi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</si>
</sst>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1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/>
    <xf numFmtId="11" fontId="1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1" applyNumberFormat="1" applyFont="1"/>
    <xf numFmtId="10" fontId="1" fillId="0" borderId="0" xfId="1" applyNumberFormat="1" applyFont="1"/>
    <xf numFmtId="0" fontId="3" fillId="0" borderId="0" xfId="0" applyFont="1"/>
    <xf numFmtId="0" fontId="1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r-Latn-BA"/>
              <a:t>I-U</a:t>
            </a:r>
            <a:r>
              <a:rPr lang="sr-Latn-BA" baseline="0"/>
              <a:t> karakteristika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Zadatak_41!$D$9</c:f>
              <c:strCache>
                <c:ptCount val="1"/>
                <c:pt idx="0">
                  <c:v>Ipv</c:v>
                </c:pt>
              </c:strCache>
            </c:strRef>
          </c:tx>
          <c:marker>
            <c:symbol val="none"/>
          </c:marker>
          <c:xVal>
            <c:numRef>
              <c:f>Zadatak_41!$C$10:$C$34</c:f>
              <c:numCache>
                <c:formatCode>0.000</c:formatCode>
                <c:ptCount val="25"/>
                <c:pt idx="0">
                  <c:v>3.4454579155365761E-5</c:v>
                </c:pt>
                <c:pt idx="1">
                  <c:v>9.6227272786445855E-2</c:v>
                </c:pt>
                <c:pt idx="2">
                  <c:v>0.39645454567015448</c:v>
                </c:pt>
                <c:pt idx="3">
                  <c:v>0.69668181881099644</c:v>
                </c:pt>
                <c:pt idx="4">
                  <c:v>0.99690909263162131</c:v>
                </c:pt>
                <c:pt idx="5">
                  <c:v>1.2971363682493864</c:v>
                </c:pt>
                <c:pt idx="6">
                  <c:v>1.5973636486182481</c:v>
                </c:pt>
                <c:pt idx="7">
                  <c:v>1.8975909415475747</c:v>
                </c:pt>
                <c:pt idx="8">
                  <c:v>2.1978182676829761</c:v>
                </c:pt>
                <c:pt idx="9">
                  <c:v>2.4980456816052081</c:v>
                </c:pt>
                <c:pt idx="10">
                  <c:v>2.7982733276093059</c:v>
                </c:pt>
                <c:pt idx="11">
                  <c:v>3.0985015871677568</c:v>
                </c:pt>
                <c:pt idx="12">
                  <c:v>3.3987314687785952</c:v>
                </c:pt>
                <c:pt idx="13">
                  <c:v>3.6989656386060088</c:v>
                </c:pt>
                <c:pt idx="14">
                  <c:v>3.9992111451828039</c:v>
                </c:pt>
                <c:pt idx="15">
                  <c:v>4.29948662270073</c:v>
                </c:pt>
                <c:pt idx="16">
                  <c:v>4.5998413343343687</c:v>
                </c:pt>
                <c:pt idx="17">
                  <c:v>4.9004055170375009</c:v>
                </c:pt>
                <c:pt idx="18">
                  <c:v>5.2015234779782178</c:v>
                </c:pt>
                <c:pt idx="19">
                  <c:v>5.5041054613119176</c:v>
                </c:pt>
                <c:pt idx="20">
                  <c:v>5.8105578776487441</c:v>
                </c:pt>
                <c:pt idx="21">
                  <c:v>6.1272425497922249</c:v>
                </c:pt>
                <c:pt idx="22">
                  <c:v>6.4709782156638624</c:v>
                </c:pt>
                <c:pt idx="23">
                  <c:v>6.8862285382747244</c:v>
                </c:pt>
                <c:pt idx="24">
                  <c:v>6.922130192075131</c:v>
                </c:pt>
              </c:numCache>
            </c:numRef>
          </c:xVal>
          <c:yVal>
            <c:numRef>
              <c:f>Zadatak_41!$D$10:$D$34</c:f>
              <c:numCache>
                <c:formatCode>0.000</c:formatCode>
                <c:ptCount val="25"/>
                <c:pt idx="0">
                  <c:v>3.3974257570140778</c:v>
                </c:pt>
                <c:pt idx="1">
                  <c:v>3.3962121202259024</c:v>
                </c:pt>
                <c:pt idx="2">
                  <c:v>3.3924242388307588</c:v>
                </c:pt>
                <c:pt idx="3">
                  <c:v>3.3886363531500603</c:v>
                </c:pt>
                <c:pt idx="4">
                  <c:v>3.3848484561396477</c:v>
                </c:pt>
                <c:pt idx="5">
                  <c:v>3.3810605291768927</c:v>
                </c:pt>
                <c:pt idx="6">
                  <c:v>3.3772725230291933</c:v>
                </c:pt>
                <c:pt idx="7">
                  <c:v>3.3734843075404184</c:v>
                </c:pt>
                <c:pt idx="8">
                  <c:v>3.3696955386170684</c:v>
                </c:pt>
                <c:pt idx="9">
                  <c:v>3.3659053065798665</c:v>
                </c:pt>
                <c:pt idx="10">
                  <c:v>3.3621112065115701</c:v>
                </c:pt>
                <c:pt idx="11">
                  <c:v>3.358306880537389</c:v>
                </c:pt>
                <c:pt idx="12">
                  <c:v>3.3544755203567522</c:v>
                </c:pt>
                <c:pt idx="13">
                  <c:v>3.3505726898998573</c:v>
                </c:pt>
                <c:pt idx="14">
                  <c:v>3.3464809136199336</c:v>
                </c:pt>
                <c:pt idx="15">
                  <c:v>3.3418896216544884</c:v>
                </c:pt>
                <c:pt idx="16">
                  <c:v>3.3359777610938566</c:v>
                </c:pt>
                <c:pt idx="17">
                  <c:v>3.326574716041653</c:v>
                </c:pt>
                <c:pt idx="18">
                  <c:v>3.3079420336963774</c:v>
                </c:pt>
                <c:pt idx="19">
                  <c:v>3.2649089781346996</c:v>
                </c:pt>
                <c:pt idx="20">
                  <c:v>3.1573687058542617</c:v>
                </c:pt>
                <c:pt idx="21">
                  <c:v>2.8792908367962595</c:v>
                </c:pt>
                <c:pt idx="22">
                  <c:v>2.1503630722689682</c:v>
                </c:pt>
                <c:pt idx="23">
                  <c:v>0.229524362087908</c:v>
                </c:pt>
                <c:pt idx="24">
                  <c:v>1.646533107774184E-7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Zadatak_41!$C$10:$C$34</c:f>
              <c:numCache>
                <c:formatCode>0.000</c:formatCode>
                <c:ptCount val="25"/>
                <c:pt idx="0">
                  <c:v>3.4454579155365761E-5</c:v>
                </c:pt>
                <c:pt idx="1">
                  <c:v>9.6227272786445855E-2</c:v>
                </c:pt>
                <c:pt idx="2">
                  <c:v>0.39645454567015448</c:v>
                </c:pt>
                <c:pt idx="3">
                  <c:v>0.69668181881099644</c:v>
                </c:pt>
                <c:pt idx="4">
                  <c:v>0.99690909263162131</c:v>
                </c:pt>
                <c:pt idx="5">
                  <c:v>1.2971363682493864</c:v>
                </c:pt>
                <c:pt idx="6">
                  <c:v>1.5973636486182481</c:v>
                </c:pt>
                <c:pt idx="7">
                  <c:v>1.8975909415475747</c:v>
                </c:pt>
                <c:pt idx="8">
                  <c:v>2.1978182676829761</c:v>
                </c:pt>
                <c:pt idx="9">
                  <c:v>2.4980456816052081</c:v>
                </c:pt>
                <c:pt idx="10">
                  <c:v>2.7982733276093059</c:v>
                </c:pt>
                <c:pt idx="11">
                  <c:v>3.0985015871677568</c:v>
                </c:pt>
                <c:pt idx="12">
                  <c:v>3.3987314687785952</c:v>
                </c:pt>
                <c:pt idx="13">
                  <c:v>3.6989656386060088</c:v>
                </c:pt>
                <c:pt idx="14">
                  <c:v>3.9992111451828039</c:v>
                </c:pt>
                <c:pt idx="15">
                  <c:v>4.29948662270073</c:v>
                </c:pt>
                <c:pt idx="16">
                  <c:v>4.5998413343343687</c:v>
                </c:pt>
                <c:pt idx="17">
                  <c:v>4.9004055170375009</c:v>
                </c:pt>
                <c:pt idx="18">
                  <c:v>5.2015234779782178</c:v>
                </c:pt>
                <c:pt idx="19">
                  <c:v>5.5041054613119176</c:v>
                </c:pt>
                <c:pt idx="20">
                  <c:v>5.8105578776487441</c:v>
                </c:pt>
                <c:pt idx="21">
                  <c:v>6.1272425497922249</c:v>
                </c:pt>
                <c:pt idx="22">
                  <c:v>6.4709782156638624</c:v>
                </c:pt>
                <c:pt idx="23">
                  <c:v>6.8862285382747244</c:v>
                </c:pt>
                <c:pt idx="24">
                  <c:v>6.922130192075131</c:v>
                </c:pt>
              </c:numCache>
            </c:numRef>
          </c:xVal>
          <c:yVal>
            <c:numRef>
              <c:f>Zadatak_41!$F$10:$F$34</c:f>
              <c:numCache>
                <c:formatCode>0.000</c:formatCode>
                <c:ptCount val="25"/>
                <c:pt idx="0">
                  <c:v>3.4454579155365761E-6</c:v>
                </c:pt>
                <c:pt idx="1">
                  <c:v>9.6227272786445859E-3</c:v>
                </c:pt>
                <c:pt idx="2">
                  <c:v>3.9645454567015445E-2</c:v>
                </c:pt>
                <c:pt idx="3">
                  <c:v>6.9668181881099647E-2</c:v>
                </c:pt>
                <c:pt idx="4">
                  <c:v>9.9690909263162125E-2</c:v>
                </c:pt>
                <c:pt idx="5">
                  <c:v>0.12971363682493864</c:v>
                </c:pt>
                <c:pt idx="6">
                  <c:v>0.1597363648618248</c:v>
                </c:pt>
                <c:pt idx="7">
                  <c:v>0.18975909415475747</c:v>
                </c:pt>
                <c:pt idx="8">
                  <c:v>0.21978182676829761</c:v>
                </c:pt>
                <c:pt idx="9">
                  <c:v>0.24980456816052082</c:v>
                </c:pt>
                <c:pt idx="10">
                  <c:v>0.27982733276093058</c:v>
                </c:pt>
                <c:pt idx="11">
                  <c:v>0.30985015871677568</c:v>
                </c:pt>
                <c:pt idx="12">
                  <c:v>0.33987314687785952</c:v>
                </c:pt>
                <c:pt idx="13">
                  <c:v>0.36989656386060088</c:v>
                </c:pt>
                <c:pt idx="14">
                  <c:v>0.39992111451828039</c:v>
                </c:pt>
                <c:pt idx="15">
                  <c:v>0.429948662270073</c:v>
                </c:pt>
                <c:pt idx="16">
                  <c:v>0.45998413343343686</c:v>
                </c:pt>
                <c:pt idx="17">
                  <c:v>0.4900405517037501</c:v>
                </c:pt>
                <c:pt idx="18">
                  <c:v>0.52015234779782182</c:v>
                </c:pt>
                <c:pt idx="19">
                  <c:v>0.55041054613119178</c:v>
                </c:pt>
                <c:pt idx="20">
                  <c:v>0.58105578776487443</c:v>
                </c:pt>
                <c:pt idx="21">
                  <c:v>0.61272425497922245</c:v>
                </c:pt>
                <c:pt idx="22">
                  <c:v>0.64709782156638629</c:v>
                </c:pt>
                <c:pt idx="23">
                  <c:v>0.68862285382747246</c:v>
                </c:pt>
                <c:pt idx="24">
                  <c:v>0.6922130192075131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57728"/>
        <c:axId val="140859648"/>
      </c:scatterChart>
      <c:valAx>
        <c:axId val="1408577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Upv</a:t>
                </a:r>
                <a:r>
                  <a:rPr lang="sr-Latn-BA" baseline="0"/>
                  <a:t> [V]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0859648"/>
        <c:crosses val="autoZero"/>
        <c:crossBetween val="midCat"/>
      </c:valAx>
      <c:valAx>
        <c:axId val="14085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Ipv</a:t>
                </a:r>
                <a:r>
                  <a:rPr lang="sr-Latn-BA" baseline="0"/>
                  <a:t> [A]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0857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Zadatak_41!$E$9</c:f>
              <c:strCache>
                <c:ptCount val="1"/>
                <c:pt idx="0">
                  <c:v>Ppv</c:v>
                </c:pt>
              </c:strCache>
            </c:strRef>
          </c:tx>
          <c:marker>
            <c:symbol val="none"/>
          </c:marker>
          <c:xVal>
            <c:numRef>
              <c:f>Zadatak_41!$C$10:$C$34</c:f>
              <c:numCache>
                <c:formatCode>0.000</c:formatCode>
                <c:ptCount val="25"/>
                <c:pt idx="0">
                  <c:v>3.4454579155365761E-5</c:v>
                </c:pt>
                <c:pt idx="1">
                  <c:v>9.6227272786445855E-2</c:v>
                </c:pt>
                <c:pt idx="2">
                  <c:v>0.39645454567015448</c:v>
                </c:pt>
                <c:pt idx="3">
                  <c:v>0.69668181881099644</c:v>
                </c:pt>
                <c:pt idx="4">
                  <c:v>0.99690909263162131</c:v>
                </c:pt>
                <c:pt idx="5">
                  <c:v>1.2971363682493864</c:v>
                </c:pt>
                <c:pt idx="6">
                  <c:v>1.5973636486182481</c:v>
                </c:pt>
                <c:pt idx="7">
                  <c:v>1.8975909415475747</c:v>
                </c:pt>
                <c:pt idx="8">
                  <c:v>2.1978182676829761</c:v>
                </c:pt>
                <c:pt idx="9">
                  <c:v>2.4980456816052081</c:v>
                </c:pt>
                <c:pt idx="10">
                  <c:v>2.7982733276093059</c:v>
                </c:pt>
                <c:pt idx="11">
                  <c:v>3.0985015871677568</c:v>
                </c:pt>
                <c:pt idx="12">
                  <c:v>3.3987314687785952</c:v>
                </c:pt>
                <c:pt idx="13">
                  <c:v>3.6989656386060088</c:v>
                </c:pt>
                <c:pt idx="14">
                  <c:v>3.9992111451828039</c:v>
                </c:pt>
                <c:pt idx="15">
                  <c:v>4.29948662270073</c:v>
                </c:pt>
                <c:pt idx="16">
                  <c:v>4.5998413343343687</c:v>
                </c:pt>
                <c:pt idx="17">
                  <c:v>4.9004055170375009</c:v>
                </c:pt>
                <c:pt idx="18">
                  <c:v>5.2015234779782178</c:v>
                </c:pt>
                <c:pt idx="19">
                  <c:v>5.5041054613119176</c:v>
                </c:pt>
                <c:pt idx="20">
                  <c:v>5.8105578776487441</c:v>
                </c:pt>
                <c:pt idx="21">
                  <c:v>6.1272425497922249</c:v>
                </c:pt>
                <c:pt idx="22">
                  <c:v>6.4709782156638624</c:v>
                </c:pt>
                <c:pt idx="23">
                  <c:v>6.8862285382747244</c:v>
                </c:pt>
                <c:pt idx="24">
                  <c:v>6.922130192075131</c:v>
                </c:pt>
              </c:numCache>
            </c:numRef>
          </c:xVal>
          <c:yVal>
            <c:numRef>
              <c:f>Zadatak_41!$E$10:$E$34</c:f>
              <c:numCache>
                <c:formatCode>0.000</c:formatCode>
                <c:ptCount val="25"/>
                <c:pt idx="0">
                  <c:v>1.1705687466951998E-4</c:v>
                </c:pt>
                <c:pt idx="1">
                  <c:v>0.32680823013361154</c:v>
                </c:pt>
                <c:pt idx="2">
                  <c:v>1.3449420103260681</c:v>
                </c:pt>
                <c:pt idx="3">
                  <c:v>2.3608013378016461</c:v>
                </c:pt>
                <c:pt idx="4">
                  <c:v>3.3743862031057206</c:v>
                </c:pt>
                <c:pt idx="5">
                  <c:v>4.385696575647863</c:v>
                </c:pt>
                <c:pt idx="6">
                  <c:v>5.3947323597640686</c:v>
                </c:pt>
                <c:pt idx="7">
                  <c:v>6.4014932634415906</c:v>
                </c:pt>
                <c:pt idx="8">
                  <c:v>7.4059784113024181</c:v>
                </c:pt>
                <c:pt idx="9">
                  <c:v>8.408185215793889</c:v>
                </c:pt>
                <c:pt idx="10">
                  <c:v>9.40810611363767</c:v>
                </c:pt>
                <c:pt idx="11">
                  <c:v>10.405719199541497</c:v>
                </c:pt>
                <c:pt idx="12">
                  <c:v>11.400961512283947</c:v>
                </c:pt>
                <c:pt idx="13">
                  <c:v>12.393653249591278</c:v>
                </c:pt>
                <c:pt idx="14">
                  <c:v>13.38328376689037</c:v>
                </c:pt>
                <c:pt idx="15">
                  <c:v>14.368409722845877</c:v>
                </c:pt>
                <c:pt idx="16">
                  <c:v>15.344968395899745</c:v>
                </c:pt>
                <c:pt idx="17">
                  <c:v>16.301565091327973</c:v>
                </c:pt>
                <c:pt idx="18">
                  <c:v>17.20633815206272</c:v>
                </c:pt>
                <c:pt idx="19">
                  <c:v>17.970403337237514</c:v>
                </c:pt>
                <c:pt idx="20">
                  <c:v>18.346073606443099</c:v>
                </c:pt>
                <c:pt idx="21">
                  <c:v>17.642113328444903</c:v>
                </c:pt>
                <c:pt idx="22">
                  <c:v>13.914952596420509</c:v>
                </c:pt>
                <c:pt idx="23">
                  <c:v>1.5805572124390532</c:v>
                </c:pt>
                <c:pt idx="24">
                  <c:v>1.1397516537574975E-6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84224"/>
        <c:axId val="140886400"/>
      </c:scatterChart>
      <c:valAx>
        <c:axId val="140884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Upv</a:t>
                </a:r>
                <a:r>
                  <a:rPr lang="sr-Latn-BA" baseline="0"/>
                  <a:t> [V]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0886400"/>
        <c:crosses val="autoZero"/>
        <c:crossBetween val="midCat"/>
      </c:valAx>
      <c:valAx>
        <c:axId val="140886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Ppv</a:t>
                </a:r>
                <a:r>
                  <a:rPr lang="sr-Latn-BA" baseline="0"/>
                  <a:t> [W]</a:t>
                </a:r>
                <a:endParaRPr lang="en-US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crossAx val="140884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8</xdr:row>
      <xdr:rowOff>14287</xdr:rowOff>
    </xdr:from>
    <xdr:to>
      <xdr:col>15</xdr:col>
      <xdr:colOff>38100</xdr:colOff>
      <xdr:row>22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23</xdr:row>
      <xdr:rowOff>80962</xdr:rowOff>
    </xdr:from>
    <xdr:to>
      <xdr:col>15</xdr:col>
      <xdr:colOff>9525</xdr:colOff>
      <xdr:row>37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18" workbookViewId="0">
      <selection activeCell="H36" sqref="H36"/>
    </sheetView>
  </sheetViews>
  <sheetFormatPr defaultRowHeight="15" x14ac:dyDescent="0.25"/>
  <cols>
    <col min="1" max="5" width="9.140625" style="5"/>
    <col min="6" max="6" width="12.42578125" style="5" bestFit="1" customWidth="1"/>
    <col min="7" max="16384" width="9.140625" style="5"/>
  </cols>
  <sheetData>
    <row r="1" spans="1:8" x14ac:dyDescent="0.25">
      <c r="A1" s="9" t="s">
        <v>8</v>
      </c>
      <c r="B1" s="9"/>
      <c r="C1" s="9"/>
    </row>
    <row r="2" spans="1:8" x14ac:dyDescent="0.25">
      <c r="A2" s="1" t="s">
        <v>0</v>
      </c>
      <c r="B2" s="2">
        <v>6.6</v>
      </c>
      <c r="C2" s="1" t="s">
        <v>6</v>
      </c>
      <c r="F2" s="5" t="s">
        <v>13</v>
      </c>
      <c r="G2" s="6">
        <v>1.5999999999999999E-19</v>
      </c>
      <c r="H2" s="5" t="s">
        <v>15</v>
      </c>
    </row>
    <row r="3" spans="1:8" x14ac:dyDescent="0.25">
      <c r="A3" s="1" t="s">
        <v>1</v>
      </c>
      <c r="B3" s="2">
        <v>5.0000000000000001E-3</v>
      </c>
      <c r="C3" s="1" t="s">
        <v>6</v>
      </c>
      <c r="F3" s="5" t="s">
        <v>14</v>
      </c>
      <c r="G3" s="6">
        <v>1.3800000000000001E-23</v>
      </c>
      <c r="H3" s="5" t="s">
        <v>16</v>
      </c>
    </row>
    <row r="4" spans="1:8" x14ac:dyDescent="0.25">
      <c r="A4" s="1" t="s">
        <v>2</v>
      </c>
      <c r="B4" s="3">
        <v>6E-10</v>
      </c>
      <c r="C4" s="1" t="s">
        <v>7</v>
      </c>
      <c r="F4" s="5" t="s">
        <v>17</v>
      </c>
      <c r="G4" s="5">
        <f>273.15+25</f>
        <v>298.14999999999998</v>
      </c>
      <c r="H4" s="5" t="s">
        <v>18</v>
      </c>
    </row>
    <row r="5" spans="1:8" x14ac:dyDescent="0.25">
      <c r="A5" s="1" t="s">
        <v>3</v>
      </c>
      <c r="B5" s="2">
        <v>3.4</v>
      </c>
      <c r="C5" s="1" t="s">
        <v>7</v>
      </c>
    </row>
    <row r="6" spans="1:8" x14ac:dyDescent="0.25">
      <c r="A6" s="1" t="s">
        <v>4</v>
      </c>
      <c r="B6" s="2">
        <v>12</v>
      </c>
      <c r="C6" s="1"/>
    </row>
    <row r="7" spans="1:8" x14ac:dyDescent="0.25">
      <c r="A7" s="1" t="s">
        <v>5</v>
      </c>
      <c r="B7" s="2">
        <v>10</v>
      </c>
      <c r="C7" s="1" t="s">
        <v>6</v>
      </c>
    </row>
    <row r="9" spans="1:8" x14ac:dyDescent="0.25">
      <c r="A9" s="4" t="s">
        <v>9</v>
      </c>
      <c r="B9" s="5" t="s">
        <v>10</v>
      </c>
      <c r="C9" s="5" t="s">
        <v>11</v>
      </c>
      <c r="D9" s="5" t="s">
        <v>12</v>
      </c>
      <c r="E9" s="5" t="s">
        <v>19</v>
      </c>
      <c r="F9" s="5" t="s">
        <v>20</v>
      </c>
    </row>
    <row r="10" spans="1:8" x14ac:dyDescent="0.25">
      <c r="A10" s="8">
        <v>1.6990000000000002E-2</v>
      </c>
      <c r="B10" s="8">
        <f>$B$4*(EXP(($G$2*A10)/($G$3*$G$4))-1)</f>
        <v>5.6167973477906836E-10</v>
      </c>
      <c r="C10" s="8">
        <f>$B$6*(A10-$B$3*D10)</f>
        <v>3.4454579155365761E-5</v>
      </c>
      <c r="D10" s="8">
        <f>$B$5-B10-A10/$B$2</f>
        <v>3.3974257570140778</v>
      </c>
      <c r="E10" s="8">
        <f>C10*D10</f>
        <v>1.1705687466951998E-4</v>
      </c>
      <c r="F10" s="8">
        <f>C10/$B$7</f>
        <v>3.4454579155365761E-6</v>
      </c>
    </row>
    <row r="11" spans="1:8" x14ac:dyDescent="0.25">
      <c r="A11" s="8">
        <v>2.5000000000000001E-2</v>
      </c>
      <c r="B11" s="8">
        <f t="shared" ref="B11:B34" si="0">$B$4*(EXP(($G$2*A11)/($G$3*$G$4))-1)</f>
        <v>9.8621877165540247E-10</v>
      </c>
      <c r="C11" s="8">
        <f t="shared" ref="C11:C34" si="1">$B$6*(A11-$B$3*D11)</f>
        <v>9.6227272786445855E-2</v>
      </c>
      <c r="D11" s="8">
        <f t="shared" ref="D11:D34" si="2">$B$5-B11-A11/$B$2</f>
        <v>3.3962121202259024</v>
      </c>
      <c r="E11" s="8">
        <f t="shared" ref="E11:E34" si="3">C11*D11</f>
        <v>0.32680823013361154</v>
      </c>
      <c r="F11" s="8">
        <f t="shared" ref="F11:F34" si="4">C11/$B$7</f>
        <v>9.6227272786445859E-3</v>
      </c>
    </row>
    <row r="12" spans="1:8" x14ac:dyDescent="0.25">
      <c r="A12" s="8">
        <v>0.05</v>
      </c>
      <c r="B12" s="8">
        <f t="shared" si="0"/>
        <v>3.5934833192532898E-9</v>
      </c>
      <c r="C12" s="8">
        <f t="shared" si="1"/>
        <v>0.39645454567015448</v>
      </c>
      <c r="D12" s="8">
        <f t="shared" si="2"/>
        <v>3.3924242388307588</v>
      </c>
      <c r="E12" s="8">
        <f t="shared" si="3"/>
        <v>1.3449420103260681</v>
      </c>
      <c r="F12" s="8">
        <f t="shared" si="4"/>
        <v>3.9645454567015445E-2</v>
      </c>
    </row>
    <row r="13" spans="1:8" x14ac:dyDescent="0.25">
      <c r="A13" s="8">
        <v>7.4999999999999997E-2</v>
      </c>
      <c r="B13" s="8">
        <f t="shared" si="0"/>
        <v>1.0486303266038961E-8</v>
      </c>
      <c r="C13" s="8">
        <f t="shared" si="1"/>
        <v>0.69668181881099644</v>
      </c>
      <c r="D13" s="8">
        <f t="shared" si="2"/>
        <v>3.3886363531500603</v>
      </c>
      <c r="E13" s="8">
        <f t="shared" si="3"/>
        <v>2.3608013378016461</v>
      </c>
      <c r="F13" s="8">
        <f t="shared" si="4"/>
        <v>6.9668181881099647E-2</v>
      </c>
    </row>
    <row r="14" spans="1:8" x14ac:dyDescent="0.25">
      <c r="A14" s="8">
        <v>0.1</v>
      </c>
      <c r="B14" s="8">
        <f t="shared" si="0"/>
        <v>2.8708837248092652E-8</v>
      </c>
      <c r="C14" s="8">
        <f t="shared" si="1"/>
        <v>0.99690909263162131</v>
      </c>
      <c r="D14" s="8">
        <f t="shared" si="2"/>
        <v>3.3848484561396477</v>
      </c>
      <c r="E14" s="8">
        <f t="shared" si="3"/>
        <v>3.3743862031057206</v>
      </c>
      <c r="F14" s="8">
        <f t="shared" si="4"/>
        <v>9.9690909263162125E-2</v>
      </c>
    </row>
    <row r="15" spans="1:8" x14ac:dyDescent="0.25">
      <c r="A15" s="8">
        <v>0.125</v>
      </c>
      <c r="B15" s="8">
        <f t="shared" si="0"/>
        <v>7.688371303052943E-8</v>
      </c>
      <c r="C15" s="8">
        <f t="shared" si="1"/>
        <v>1.2971363682493864</v>
      </c>
      <c r="D15" s="8">
        <f t="shared" si="2"/>
        <v>3.3810605291768927</v>
      </c>
      <c r="E15" s="8">
        <f t="shared" si="3"/>
        <v>4.385696575647863</v>
      </c>
      <c r="F15" s="8">
        <f t="shared" si="4"/>
        <v>0.12971363682493864</v>
      </c>
    </row>
    <row r="16" spans="1:8" x14ac:dyDescent="0.25">
      <c r="A16" s="8">
        <v>0.15</v>
      </c>
      <c r="B16" s="8">
        <f t="shared" si="0"/>
        <v>2.0424353351097687E-7</v>
      </c>
      <c r="C16" s="8">
        <f t="shared" si="1"/>
        <v>1.5973636486182481</v>
      </c>
      <c r="D16" s="8">
        <f t="shared" si="2"/>
        <v>3.3772725230291933</v>
      </c>
      <c r="E16" s="8">
        <f t="shared" si="3"/>
        <v>5.3947323597640686</v>
      </c>
      <c r="F16" s="8">
        <f t="shared" si="4"/>
        <v>0.1597363648618248</v>
      </c>
    </row>
    <row r="17" spans="1:6" x14ac:dyDescent="0.25">
      <c r="A17" s="8">
        <v>0.17499999999999999</v>
      </c>
      <c r="B17" s="8">
        <f t="shared" si="0"/>
        <v>5.4094443017888955E-7</v>
      </c>
      <c r="C17" s="8">
        <f t="shared" si="1"/>
        <v>1.8975909415475747</v>
      </c>
      <c r="D17" s="8">
        <f t="shared" si="2"/>
        <v>3.3734843075404184</v>
      </c>
      <c r="E17" s="8">
        <f t="shared" si="3"/>
        <v>6.4014932634415906</v>
      </c>
      <c r="F17" s="8">
        <f t="shared" si="4"/>
        <v>0.18975909415475747</v>
      </c>
    </row>
    <row r="18" spans="1:6" x14ac:dyDescent="0.25">
      <c r="A18" s="8">
        <v>0.2</v>
      </c>
      <c r="B18" s="8">
        <f t="shared" si="0"/>
        <v>1.4310799013919721E-6</v>
      </c>
      <c r="C18" s="8">
        <f t="shared" si="1"/>
        <v>2.1978182676829761</v>
      </c>
      <c r="D18" s="8">
        <f t="shared" si="2"/>
        <v>3.3696955386170684</v>
      </c>
      <c r="E18" s="8">
        <f t="shared" si="3"/>
        <v>7.4059784113024181</v>
      </c>
      <c r="F18" s="8">
        <f t="shared" si="4"/>
        <v>0.21978182676829761</v>
      </c>
    </row>
    <row r="19" spans="1:6" x14ac:dyDescent="0.25">
      <c r="A19" s="8">
        <v>0.22500000000000001</v>
      </c>
      <c r="B19" s="8">
        <f t="shared" si="0"/>
        <v>3.7843292243161695E-6</v>
      </c>
      <c r="C19" s="8">
        <f t="shared" si="1"/>
        <v>2.4980456816052081</v>
      </c>
      <c r="D19" s="8">
        <f t="shared" si="2"/>
        <v>3.3659053065798665</v>
      </c>
      <c r="E19" s="8">
        <f t="shared" si="3"/>
        <v>8.408185215793889</v>
      </c>
      <c r="F19" s="8">
        <f t="shared" si="4"/>
        <v>0.24980456816052082</v>
      </c>
    </row>
    <row r="20" spans="1:6" x14ac:dyDescent="0.25">
      <c r="A20" s="8">
        <v>0.25</v>
      </c>
      <c r="B20" s="8">
        <f t="shared" si="0"/>
        <v>1.0005609641662393E-5</v>
      </c>
      <c r="C20" s="8">
        <f t="shared" si="1"/>
        <v>2.7982733276093059</v>
      </c>
      <c r="D20" s="8">
        <f t="shared" si="2"/>
        <v>3.3621112065115701</v>
      </c>
      <c r="E20" s="8">
        <f t="shared" si="3"/>
        <v>9.40810611363767</v>
      </c>
      <c r="F20" s="8">
        <f t="shared" si="4"/>
        <v>0.27982733276093058</v>
      </c>
    </row>
    <row r="21" spans="1:6" x14ac:dyDescent="0.25">
      <c r="A21" s="8">
        <v>0.27500000000000002</v>
      </c>
      <c r="B21" s="8">
        <f t="shared" si="0"/>
        <v>2.6452795944540258E-5</v>
      </c>
      <c r="C21" s="8">
        <f t="shared" si="1"/>
        <v>3.0985015871677568</v>
      </c>
      <c r="D21" s="8">
        <f t="shared" si="2"/>
        <v>3.358306880537389</v>
      </c>
      <c r="E21" s="8">
        <f t="shared" si="3"/>
        <v>10.405719199541497</v>
      </c>
      <c r="F21" s="8">
        <f t="shared" si="4"/>
        <v>0.30985015871677568</v>
      </c>
    </row>
    <row r="22" spans="1:6" x14ac:dyDescent="0.25">
      <c r="A22" s="8">
        <v>0.3</v>
      </c>
      <c r="B22" s="8">
        <f t="shared" si="0"/>
        <v>6.9934188702104491E-5</v>
      </c>
      <c r="C22" s="8">
        <f t="shared" si="1"/>
        <v>3.3987314687785952</v>
      </c>
      <c r="D22" s="8">
        <f t="shared" si="2"/>
        <v>3.3544755203567522</v>
      </c>
      <c r="E22" s="8">
        <f t="shared" si="3"/>
        <v>11.400961512283947</v>
      </c>
      <c r="F22" s="8">
        <f t="shared" si="4"/>
        <v>0.33987314687785952</v>
      </c>
    </row>
    <row r="23" spans="1:6" x14ac:dyDescent="0.25">
      <c r="A23" s="8">
        <v>0.32500000000000001</v>
      </c>
      <c r="B23" s="8">
        <f t="shared" si="0"/>
        <v>1.8488585771838707E-4</v>
      </c>
      <c r="C23" s="8">
        <f t="shared" si="1"/>
        <v>3.6989656386060088</v>
      </c>
      <c r="D23" s="8">
        <f t="shared" si="2"/>
        <v>3.3505726898998573</v>
      </c>
      <c r="E23" s="8">
        <f t="shared" si="3"/>
        <v>12.393653249591278</v>
      </c>
      <c r="F23" s="8">
        <f t="shared" si="4"/>
        <v>0.36989656386060088</v>
      </c>
    </row>
    <row r="24" spans="1:6" x14ac:dyDescent="0.25">
      <c r="A24" s="8">
        <v>0.35</v>
      </c>
      <c r="B24" s="8">
        <f t="shared" si="0"/>
        <v>4.8878334976296361E-4</v>
      </c>
      <c r="C24" s="8">
        <f t="shared" si="1"/>
        <v>3.9992111451828039</v>
      </c>
      <c r="D24" s="8">
        <f t="shared" si="2"/>
        <v>3.3464809136199336</v>
      </c>
      <c r="E24" s="8">
        <f t="shared" si="3"/>
        <v>13.38328376689037</v>
      </c>
      <c r="F24" s="8">
        <f t="shared" si="4"/>
        <v>0.39992111451828039</v>
      </c>
    </row>
    <row r="25" spans="1:6" x14ac:dyDescent="0.25">
      <c r="A25" s="8">
        <v>0.375</v>
      </c>
      <c r="B25" s="8">
        <f t="shared" si="0"/>
        <v>1.2921965273298081E-3</v>
      </c>
      <c r="C25" s="8">
        <f t="shared" si="1"/>
        <v>4.29948662270073</v>
      </c>
      <c r="D25" s="8">
        <f t="shared" si="2"/>
        <v>3.3418896216544884</v>
      </c>
      <c r="E25" s="8">
        <f t="shared" si="3"/>
        <v>14.368409722845877</v>
      </c>
      <c r="F25" s="8">
        <f t="shared" si="4"/>
        <v>0.429948662270073</v>
      </c>
    </row>
    <row r="26" spans="1:6" x14ac:dyDescent="0.25">
      <c r="A26" s="8">
        <v>0.4</v>
      </c>
      <c r="B26" s="8">
        <f t="shared" si="0"/>
        <v>3.4161783000828776E-3</v>
      </c>
      <c r="C26" s="8">
        <f t="shared" si="1"/>
        <v>4.5998413343343687</v>
      </c>
      <c r="D26" s="8">
        <f t="shared" si="2"/>
        <v>3.3359777610938566</v>
      </c>
      <c r="E26" s="8">
        <f t="shared" si="3"/>
        <v>15.344968395899745</v>
      </c>
      <c r="F26" s="8">
        <f t="shared" si="4"/>
        <v>0.45998413343343686</v>
      </c>
    </row>
    <row r="27" spans="1:6" x14ac:dyDescent="0.25">
      <c r="A27" s="8">
        <v>0.42499999999999999</v>
      </c>
      <c r="B27" s="8">
        <f t="shared" si="0"/>
        <v>9.0313445644076198E-3</v>
      </c>
      <c r="C27" s="8">
        <f t="shared" si="1"/>
        <v>4.9004055170375009</v>
      </c>
      <c r="D27" s="8">
        <f t="shared" si="2"/>
        <v>3.326574716041653</v>
      </c>
      <c r="E27" s="8">
        <f t="shared" si="3"/>
        <v>16.301565091327973</v>
      </c>
      <c r="F27" s="8">
        <f t="shared" si="4"/>
        <v>0.4900405517037501</v>
      </c>
    </row>
    <row r="28" spans="1:6" x14ac:dyDescent="0.25">
      <c r="A28" s="8">
        <v>0.45</v>
      </c>
      <c r="B28" s="8">
        <f t="shared" si="0"/>
        <v>2.3876148121804337E-2</v>
      </c>
      <c r="C28" s="8">
        <f t="shared" si="1"/>
        <v>5.2015234779782178</v>
      </c>
      <c r="D28" s="8">
        <f t="shared" si="2"/>
        <v>3.3079420336963774</v>
      </c>
      <c r="E28" s="8">
        <f t="shared" si="3"/>
        <v>17.20633815206272</v>
      </c>
      <c r="F28" s="8">
        <f t="shared" si="4"/>
        <v>0.52015234779782182</v>
      </c>
    </row>
    <row r="29" spans="1:6" x14ac:dyDescent="0.25">
      <c r="A29" s="8">
        <v>0.47499999999999998</v>
      </c>
      <c r="B29" s="8">
        <f t="shared" si="0"/>
        <v>6.3121324895603598E-2</v>
      </c>
      <c r="C29" s="8">
        <f t="shared" si="1"/>
        <v>5.5041054613119176</v>
      </c>
      <c r="D29" s="8">
        <f t="shared" si="2"/>
        <v>3.2649089781346996</v>
      </c>
      <c r="E29" s="8">
        <f t="shared" si="3"/>
        <v>17.970403337237514</v>
      </c>
      <c r="F29" s="8">
        <f t="shared" si="4"/>
        <v>0.55041054613119178</v>
      </c>
    </row>
    <row r="30" spans="1:6" x14ac:dyDescent="0.25">
      <c r="A30" s="8">
        <v>0.5</v>
      </c>
      <c r="B30" s="8">
        <f t="shared" si="0"/>
        <v>0.1668737183881624</v>
      </c>
      <c r="C30" s="8">
        <f t="shared" si="1"/>
        <v>5.8105578776487441</v>
      </c>
      <c r="D30" s="8">
        <f t="shared" si="2"/>
        <v>3.1573687058542617</v>
      </c>
      <c r="E30" s="8">
        <f t="shared" si="3"/>
        <v>18.346073606443099</v>
      </c>
      <c r="F30" s="8">
        <f t="shared" si="4"/>
        <v>0.58105578776487443</v>
      </c>
    </row>
    <row r="31" spans="1:6" x14ac:dyDescent="0.25">
      <c r="A31" s="8">
        <v>0.52500000000000002</v>
      </c>
      <c r="B31" s="8">
        <f t="shared" si="0"/>
        <v>0.44116370865828597</v>
      </c>
      <c r="C31" s="8">
        <f t="shared" si="1"/>
        <v>6.1272425497922249</v>
      </c>
      <c r="D31" s="8">
        <f t="shared" si="2"/>
        <v>2.8792908367962595</v>
      </c>
      <c r="E31" s="8">
        <f t="shared" si="3"/>
        <v>17.642113328444903</v>
      </c>
      <c r="F31" s="8">
        <f t="shared" si="4"/>
        <v>0.61272425497922245</v>
      </c>
    </row>
    <row r="32" spans="1:6" x14ac:dyDescent="0.25">
      <c r="A32" s="8">
        <v>0.55000000000000004</v>
      </c>
      <c r="B32" s="8">
        <f t="shared" si="0"/>
        <v>1.1663035943976983</v>
      </c>
      <c r="C32" s="8">
        <f t="shared" si="1"/>
        <v>6.4709782156638624</v>
      </c>
      <c r="D32" s="8">
        <f t="shared" si="2"/>
        <v>2.1503630722689682</v>
      </c>
      <c r="E32" s="8">
        <f t="shared" si="3"/>
        <v>13.914952596420509</v>
      </c>
      <c r="F32" s="8">
        <f t="shared" si="4"/>
        <v>0.64709782156638629</v>
      </c>
    </row>
    <row r="33" spans="1:7" x14ac:dyDescent="0.25">
      <c r="A33" s="8">
        <v>0.57499999999999996</v>
      </c>
      <c r="B33" s="8">
        <f t="shared" si="0"/>
        <v>3.0833544257908798</v>
      </c>
      <c r="C33" s="8">
        <f t="shared" si="1"/>
        <v>6.8862285382747244</v>
      </c>
      <c r="D33" s="8">
        <f t="shared" si="2"/>
        <v>0.229524362087908</v>
      </c>
      <c r="E33" s="8">
        <f t="shared" si="3"/>
        <v>1.5805572124390532</v>
      </c>
      <c r="F33" s="8">
        <f t="shared" si="4"/>
        <v>0.68862285382747246</v>
      </c>
    </row>
    <row r="34" spans="1:7" x14ac:dyDescent="0.25">
      <c r="A34" s="8">
        <v>0.57684418349619415</v>
      </c>
      <c r="B34" s="8">
        <f t="shared" si="0"/>
        <v>3.3125992014836294</v>
      </c>
      <c r="C34" s="8">
        <f t="shared" si="1"/>
        <v>6.922130192075131</v>
      </c>
      <c r="D34" s="8">
        <f t="shared" si="2"/>
        <v>1.646533107774184E-7</v>
      </c>
      <c r="E34" s="8">
        <f t="shared" si="3"/>
        <v>1.1397516537574975E-6</v>
      </c>
      <c r="F34" s="8">
        <f t="shared" si="4"/>
        <v>0.6922130192075131</v>
      </c>
    </row>
    <row r="35" spans="1:7" x14ac:dyDescent="0.25">
      <c r="B35" s="7"/>
    </row>
    <row r="36" spans="1:7" x14ac:dyDescent="0.25">
      <c r="B36" s="7"/>
    </row>
    <row r="37" spans="1:7" x14ac:dyDescent="0.25">
      <c r="B37" s="7"/>
    </row>
    <row r="38" spans="1:7" x14ac:dyDescent="0.25">
      <c r="B38" s="7"/>
    </row>
    <row r="39" spans="1:7" x14ac:dyDescent="0.25">
      <c r="A39" s="4" t="s">
        <v>9</v>
      </c>
      <c r="B39" s="5" t="s">
        <v>10</v>
      </c>
      <c r="C39" s="5" t="s">
        <v>11</v>
      </c>
      <c r="D39" s="5" t="s">
        <v>12</v>
      </c>
      <c r="E39" s="5" t="s">
        <v>19</v>
      </c>
    </row>
    <row r="40" spans="1:7" x14ac:dyDescent="0.25">
      <c r="A40" s="8">
        <v>0.50035115937734165</v>
      </c>
      <c r="B40" s="8">
        <f>$B$4*(EXP(($G$2*A40)/($G$3*$G$4))-1)</f>
        <v>0.16916810682352476</v>
      </c>
      <c r="C40" s="8">
        <f>$B$6*(A40-$B$3*D40)</f>
        <v>5.8149126458409413</v>
      </c>
      <c r="D40" s="8">
        <f>$B$5-B40-A40/$B$2</f>
        <v>3.1550211114526356</v>
      </c>
      <c r="E40" s="8">
        <f>C40*D40</f>
        <v>18.346172158881071</v>
      </c>
    </row>
    <row r="43" spans="1:7" x14ac:dyDescent="0.25">
      <c r="A43" s="4" t="s">
        <v>9</v>
      </c>
      <c r="B43" s="5" t="s">
        <v>10</v>
      </c>
      <c r="C43" s="5" t="s">
        <v>11</v>
      </c>
      <c r="D43" s="5" t="s">
        <v>12</v>
      </c>
      <c r="E43" s="5" t="s">
        <v>19</v>
      </c>
      <c r="F43" s="5" t="s">
        <v>20</v>
      </c>
      <c r="G43" s="5" t="s">
        <v>5</v>
      </c>
    </row>
    <row r="44" spans="1:7" x14ac:dyDescent="0.25">
      <c r="A44" s="8">
        <v>0.57093440374356652</v>
      </c>
      <c r="B44" s="8">
        <f>$B$4*(EXP(($G$2*A44)/($G$3*$G$4))-1)</f>
        <v>2.6324597204899445</v>
      </c>
      <c r="C44" s="8">
        <f>$B$6*(A44-$B$3*D44)</f>
        <v>6.8103507409134991</v>
      </c>
      <c r="D44" s="8">
        <f>$B$5-B44-A44/$B$2</f>
        <v>0.68103506682163628</v>
      </c>
      <c r="E44" s="8">
        <f>C44*D44</f>
        <v>4.6380876719168054</v>
      </c>
      <c r="F44" s="8">
        <f>C44/$B$7</f>
        <v>0.68103507409134989</v>
      </c>
      <c r="G44" s="5">
        <f>C44/D44</f>
        <v>10.000000106745071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H44" sqref="H44"/>
    </sheetView>
  </sheetViews>
  <sheetFormatPr defaultRowHeight="15" x14ac:dyDescent="0.25"/>
  <cols>
    <col min="8" max="8" width="10.5703125" customWidth="1"/>
    <col min="9" max="9" width="10.140625" customWidth="1"/>
  </cols>
  <sheetData>
    <row r="2" spans="1:5" x14ac:dyDescent="0.25">
      <c r="A2" s="14" t="s">
        <v>48</v>
      </c>
      <c r="B2" s="14"/>
      <c r="C2" s="14"/>
      <c r="D2" s="18">
        <v>1800</v>
      </c>
      <c r="E2" s="18" t="s">
        <v>47</v>
      </c>
    </row>
    <row r="3" spans="1:5" x14ac:dyDescent="0.25">
      <c r="A3" s="14" t="s">
        <v>46</v>
      </c>
      <c r="B3" s="14"/>
      <c r="C3" s="14"/>
      <c r="D3" s="5">
        <v>34</v>
      </c>
      <c r="E3" s="5" t="s">
        <v>45</v>
      </c>
    </row>
    <row r="4" spans="1:5" x14ac:dyDescent="0.25">
      <c r="A4" s="14" t="s">
        <v>44</v>
      </c>
      <c r="B4" s="14"/>
      <c r="C4" s="14"/>
      <c r="D4" s="5">
        <v>37.456000000000003</v>
      </c>
      <c r="E4" s="5" t="s">
        <v>43</v>
      </c>
    </row>
    <row r="5" spans="1:5" x14ac:dyDescent="0.25">
      <c r="A5" s="14" t="s">
        <v>42</v>
      </c>
      <c r="B5" s="14"/>
      <c r="C5" s="14"/>
      <c r="D5" s="16">
        <v>7.0000000000000001E-3</v>
      </c>
      <c r="E5" s="5"/>
    </row>
    <row r="6" spans="1:5" x14ac:dyDescent="0.25">
      <c r="A6" s="14" t="s">
        <v>41</v>
      </c>
      <c r="B6" s="14"/>
      <c r="C6" s="14"/>
      <c r="D6" s="5">
        <v>33</v>
      </c>
      <c r="E6" s="17" t="s">
        <v>40</v>
      </c>
    </row>
    <row r="7" spans="1:5" x14ac:dyDescent="0.25">
      <c r="A7" s="14" t="s">
        <v>39</v>
      </c>
      <c r="B7" s="14"/>
      <c r="C7" s="14"/>
      <c r="D7" s="16">
        <v>0.01</v>
      </c>
      <c r="E7" s="5"/>
    </row>
    <row r="8" spans="1:5" x14ac:dyDescent="0.25">
      <c r="A8" s="14" t="s">
        <v>38</v>
      </c>
      <c r="B8" s="14"/>
      <c r="C8" s="14"/>
      <c r="D8" s="16">
        <v>5.6000000000000001E-2</v>
      </c>
      <c r="E8" s="5"/>
    </row>
    <row r="9" spans="1:5" x14ac:dyDescent="0.25">
      <c r="A9" s="14" t="s">
        <v>37</v>
      </c>
      <c r="B9" s="14"/>
      <c r="C9" s="14"/>
      <c r="D9" s="15">
        <v>15</v>
      </c>
      <c r="E9" s="5" t="s">
        <v>36</v>
      </c>
    </row>
    <row r="10" spans="1:5" x14ac:dyDescent="0.25">
      <c r="A10" s="14" t="s">
        <v>35</v>
      </c>
      <c r="B10" s="14"/>
      <c r="C10" s="14"/>
      <c r="D10" s="5">
        <f>D2*D3</f>
        <v>61200</v>
      </c>
      <c r="E10" s="5" t="s">
        <v>30</v>
      </c>
    </row>
    <row r="11" spans="1:5" x14ac:dyDescent="0.25">
      <c r="A11" s="14" t="s">
        <v>34</v>
      </c>
      <c r="B11" s="14"/>
      <c r="C11" s="14"/>
      <c r="D11" s="5">
        <f>D7*D10</f>
        <v>612</v>
      </c>
      <c r="E11" s="5" t="s">
        <v>30</v>
      </c>
    </row>
    <row r="12" spans="1:5" x14ac:dyDescent="0.25">
      <c r="A12" s="14" t="s">
        <v>33</v>
      </c>
      <c r="B12" s="14"/>
      <c r="C12" s="14"/>
      <c r="D12" s="5">
        <v>0.2029</v>
      </c>
      <c r="E12" s="5" t="s">
        <v>32</v>
      </c>
    </row>
    <row r="13" spans="1:5" x14ac:dyDescent="0.25">
      <c r="A13" s="14" t="s">
        <v>31</v>
      </c>
      <c r="B13" s="14"/>
      <c r="C13" s="14"/>
      <c r="D13" s="13">
        <f>-PMT(D8,D9,D10)</f>
        <v>6137.6717497190493</v>
      </c>
      <c r="E13" s="5" t="s">
        <v>30</v>
      </c>
    </row>
    <row r="17" spans="1:9" ht="90" x14ac:dyDescent="0.25">
      <c r="A17" s="11" t="s">
        <v>29</v>
      </c>
      <c r="B17" s="11" t="s">
        <v>28</v>
      </c>
      <c r="C17" s="11" t="s">
        <v>27</v>
      </c>
      <c r="D17" s="11" t="s">
        <v>26</v>
      </c>
      <c r="E17" s="11" t="s">
        <v>25</v>
      </c>
      <c r="F17" s="11" t="s">
        <v>24</v>
      </c>
      <c r="G17" s="11" t="s">
        <v>23</v>
      </c>
      <c r="H17" s="12" t="s">
        <v>22</v>
      </c>
      <c r="I17" s="11" t="s">
        <v>21</v>
      </c>
    </row>
    <row r="18" spans="1:9" x14ac:dyDescent="0.25">
      <c r="A18">
        <v>1</v>
      </c>
      <c r="B18" s="10">
        <f>D4*1000</f>
        <v>37456</v>
      </c>
      <c r="C18" s="10">
        <f>D10</f>
        <v>61200</v>
      </c>
      <c r="D18" s="10">
        <f>C18*$D$8</f>
        <v>3427.2000000000003</v>
      </c>
      <c r="E18" s="10">
        <f>$D$13</f>
        <v>6137.6717497190493</v>
      </c>
      <c r="F18" s="10">
        <f>E18-D18</f>
        <v>2710.4717497190491</v>
      </c>
      <c r="G18" s="10">
        <f>$D$11</f>
        <v>612</v>
      </c>
      <c r="H18" s="10">
        <f>B18*$D$12</f>
        <v>7599.8224</v>
      </c>
      <c r="I18" s="10">
        <f>H18-G18-E18</f>
        <v>850.15065028095069</v>
      </c>
    </row>
    <row r="19" spans="1:9" x14ac:dyDescent="0.25">
      <c r="A19">
        <v>2</v>
      </c>
      <c r="B19" s="10">
        <f>B18-$D$5*B18</f>
        <v>37193.807999999997</v>
      </c>
      <c r="C19" s="10">
        <f>C18-F18</f>
        <v>58489.52825028095</v>
      </c>
      <c r="D19" s="10">
        <f>C19*$D$8</f>
        <v>3275.413582015733</v>
      </c>
      <c r="E19" s="10">
        <f>$D$13</f>
        <v>6137.6717497190493</v>
      </c>
      <c r="F19" s="10">
        <f>E19-D19</f>
        <v>2862.2581677033163</v>
      </c>
      <c r="G19" s="10">
        <f>$D$11</f>
        <v>612</v>
      </c>
      <c r="H19" s="10">
        <f>B19*$D$12</f>
        <v>7546.6236431999996</v>
      </c>
      <c r="I19" s="10">
        <f>H19-G19-E19</f>
        <v>796.95189348095028</v>
      </c>
    </row>
    <row r="20" spans="1:9" x14ac:dyDescent="0.25">
      <c r="A20">
        <v>3</v>
      </c>
      <c r="B20" s="10">
        <f>B19-$D$5*B19</f>
        <v>36933.451343999994</v>
      </c>
      <c r="C20" s="10">
        <f>C19-F19</f>
        <v>55627.270082577634</v>
      </c>
      <c r="D20" s="10">
        <f>C20*$D$8</f>
        <v>3115.1271246243477</v>
      </c>
      <c r="E20" s="10">
        <f>$D$13</f>
        <v>6137.6717497190493</v>
      </c>
      <c r="F20" s="10">
        <f>E20-D20</f>
        <v>3022.5446250947016</v>
      </c>
      <c r="G20" s="10">
        <f>$D$11</f>
        <v>612</v>
      </c>
      <c r="H20" s="10">
        <f>B20*$D$12</f>
        <v>7493.7972776975985</v>
      </c>
      <c r="I20" s="10">
        <f>H20-G20-E20</f>
        <v>744.12552797854914</v>
      </c>
    </row>
    <row r="21" spans="1:9" x14ac:dyDescent="0.25">
      <c r="A21">
        <v>4</v>
      </c>
      <c r="B21" s="10">
        <f>B20-$D$5*B20</f>
        <v>36674.917184591992</v>
      </c>
      <c r="C21" s="10">
        <f>C20-F20</f>
        <v>52604.725457482935</v>
      </c>
      <c r="D21" s="10">
        <f>C21*$D$8</f>
        <v>2945.8646256190445</v>
      </c>
      <c r="E21" s="10">
        <f>$D$13</f>
        <v>6137.6717497190493</v>
      </c>
      <c r="F21" s="10">
        <f>E21-D21</f>
        <v>3191.8071241000048</v>
      </c>
      <c r="G21" s="10">
        <f>$D$11</f>
        <v>612</v>
      </c>
      <c r="H21" s="10">
        <f>B21*$D$12</f>
        <v>7441.3406967537148</v>
      </c>
      <c r="I21" s="10">
        <f>H21-G21-E21</f>
        <v>691.66894703466551</v>
      </c>
    </row>
    <row r="22" spans="1:9" x14ac:dyDescent="0.25">
      <c r="A22">
        <v>5</v>
      </c>
      <c r="B22" s="10">
        <f>B21-$D$5*B21</f>
        <v>36418.192764299849</v>
      </c>
      <c r="C22" s="10">
        <f>C21-F21</f>
        <v>49412.918333382928</v>
      </c>
      <c r="D22" s="10">
        <f>C22*$D$8</f>
        <v>2767.1234266694441</v>
      </c>
      <c r="E22" s="10">
        <f>$D$13</f>
        <v>6137.6717497190493</v>
      </c>
      <c r="F22" s="10">
        <f>E22-D22</f>
        <v>3370.5483230496052</v>
      </c>
      <c r="G22" s="10">
        <f>$D$11</f>
        <v>612</v>
      </c>
      <c r="H22" s="10">
        <f>B22*$D$12</f>
        <v>7389.2513118764391</v>
      </c>
      <c r="I22" s="10">
        <f>H22-G22-E22</f>
        <v>639.57956215738977</v>
      </c>
    </row>
    <row r="23" spans="1:9" x14ac:dyDescent="0.25">
      <c r="A23">
        <v>6</v>
      </c>
      <c r="B23" s="10">
        <f>B22-$D$5*B22</f>
        <v>36163.265414949747</v>
      </c>
      <c r="C23" s="10">
        <f>C22-F22</f>
        <v>46042.370010333325</v>
      </c>
      <c r="D23" s="10">
        <f>C23*$D$8</f>
        <v>2578.3727205786663</v>
      </c>
      <c r="E23" s="10">
        <f>$D$13</f>
        <v>6137.6717497190493</v>
      </c>
      <c r="F23" s="10">
        <f>E23-D23</f>
        <v>3559.299029140383</v>
      </c>
      <c r="G23" s="10">
        <f>$D$11</f>
        <v>612</v>
      </c>
      <c r="H23" s="10">
        <f>B23*$D$12</f>
        <v>7337.5265526933035</v>
      </c>
      <c r="I23" s="10">
        <f>H23-G23-E23</f>
        <v>587.8548029742542</v>
      </c>
    </row>
    <row r="24" spans="1:9" x14ac:dyDescent="0.25">
      <c r="A24">
        <v>7</v>
      </c>
      <c r="B24" s="10">
        <f>B23-$D$5*B23</f>
        <v>35910.122557045099</v>
      </c>
      <c r="C24" s="10">
        <f>C23-F23</f>
        <v>42483.070981192941</v>
      </c>
      <c r="D24" s="10">
        <f>C24*$D$8</f>
        <v>2379.0519749468049</v>
      </c>
      <c r="E24" s="10">
        <f>$D$13</f>
        <v>6137.6717497190493</v>
      </c>
      <c r="F24" s="10">
        <f>E24-D24</f>
        <v>3758.6197747722445</v>
      </c>
      <c r="G24" s="10">
        <f>$D$11</f>
        <v>612</v>
      </c>
      <c r="H24" s="10">
        <f>B24*$D$12</f>
        <v>7286.1638668244505</v>
      </c>
      <c r="I24" s="10">
        <f>H24-G24-E24</f>
        <v>536.49211710540112</v>
      </c>
    </row>
    <row r="25" spans="1:9" x14ac:dyDescent="0.25">
      <c r="A25">
        <v>8</v>
      </c>
      <c r="B25" s="10">
        <f>B24-$D$5*B24</f>
        <v>35658.751699145781</v>
      </c>
      <c r="C25" s="10">
        <f>C24-F24</f>
        <v>38724.451206420694</v>
      </c>
      <c r="D25" s="10">
        <f>C25*$D$8</f>
        <v>2168.5692675595587</v>
      </c>
      <c r="E25" s="10">
        <f>$D$13</f>
        <v>6137.6717497190493</v>
      </c>
      <c r="F25" s="10">
        <f>E25-D25</f>
        <v>3969.1024821594906</v>
      </c>
      <c r="G25" s="10">
        <f>$D$11</f>
        <v>612</v>
      </c>
      <c r="H25" s="10">
        <f>B25*$D$12</f>
        <v>7235.1607197566791</v>
      </c>
      <c r="I25" s="10">
        <f>H25-G25-E25</f>
        <v>485.48897003762977</v>
      </c>
    </row>
    <row r="26" spans="1:9" x14ac:dyDescent="0.25">
      <c r="A26">
        <v>9</v>
      </c>
      <c r="B26" s="10">
        <f>B25-$D$5*B25</f>
        <v>35409.140437251765</v>
      </c>
      <c r="C26" s="10">
        <f>C25-F25</f>
        <v>34755.348724261203</v>
      </c>
      <c r="D26" s="10">
        <f>C26*$D$8</f>
        <v>1946.2995285586273</v>
      </c>
      <c r="E26" s="10">
        <f>$D$13</f>
        <v>6137.6717497190493</v>
      </c>
      <c r="F26" s="10">
        <f>E26-D26</f>
        <v>4191.3722211604218</v>
      </c>
      <c r="G26" s="10">
        <f>$D$11</f>
        <v>612</v>
      </c>
      <c r="H26" s="10">
        <f>B26*$D$12</f>
        <v>7184.5145947183828</v>
      </c>
      <c r="I26" s="10">
        <f>H26-G26-E26</f>
        <v>434.84284499933347</v>
      </c>
    </row>
    <row r="27" spans="1:9" x14ac:dyDescent="0.25">
      <c r="A27">
        <v>10</v>
      </c>
      <c r="B27" s="10">
        <f>B26-$D$5*B26</f>
        <v>35161.276454191</v>
      </c>
      <c r="C27" s="10">
        <f>C26-F26</f>
        <v>30563.976503100781</v>
      </c>
      <c r="D27" s="10">
        <f>C27*$D$8</f>
        <v>1711.5826841736439</v>
      </c>
      <c r="E27" s="10">
        <f>$D$13</f>
        <v>6137.6717497190493</v>
      </c>
      <c r="F27" s="10">
        <f>E27-D27</f>
        <v>4426.0890655454059</v>
      </c>
      <c r="G27" s="10">
        <f>$D$11</f>
        <v>612</v>
      </c>
      <c r="H27" s="10">
        <f>B27*$D$12</f>
        <v>7134.2229925553538</v>
      </c>
      <c r="I27" s="10">
        <f>H27-G27-E27</f>
        <v>384.55124283630448</v>
      </c>
    </row>
    <row r="28" spans="1:9" x14ac:dyDescent="0.25">
      <c r="A28">
        <v>11</v>
      </c>
      <c r="B28" s="10">
        <f>B27-$D$5*B27</f>
        <v>34915.147519011662</v>
      </c>
      <c r="C28" s="10">
        <f>C27-F27</f>
        <v>26137.887437555375</v>
      </c>
      <c r="D28" s="10">
        <f>C28*$D$8</f>
        <v>1463.7216965031009</v>
      </c>
      <c r="E28" s="10">
        <f>$D$13</f>
        <v>6137.6717497190493</v>
      </c>
      <c r="F28" s="10">
        <f>E28-D28</f>
        <v>4673.9500532159482</v>
      </c>
      <c r="G28" s="10">
        <f>$D$11</f>
        <v>612</v>
      </c>
      <c r="H28" s="10">
        <f>B28*$D$12</f>
        <v>7084.2834316074659</v>
      </c>
      <c r="I28" s="10">
        <f>H28-G28-E28</f>
        <v>334.61168188841657</v>
      </c>
    </row>
    <row r="29" spans="1:9" x14ac:dyDescent="0.25">
      <c r="A29">
        <v>12</v>
      </c>
      <c r="B29" s="10">
        <f>B28-$D$5*B28</f>
        <v>34670.741486378582</v>
      </c>
      <c r="C29" s="10">
        <f>C28-F28</f>
        <v>21463.937384339428</v>
      </c>
      <c r="D29" s="10">
        <f>C29*$D$8</f>
        <v>1201.9804935230079</v>
      </c>
      <c r="E29" s="10">
        <f>$D$13</f>
        <v>6137.6717497190493</v>
      </c>
      <c r="F29" s="10">
        <f>E29-D29</f>
        <v>4935.6912561960416</v>
      </c>
      <c r="G29" s="10">
        <f>$D$11</f>
        <v>612</v>
      </c>
      <c r="H29" s="10">
        <f>B29*$D$12</f>
        <v>7034.6934475862145</v>
      </c>
      <c r="I29" s="10">
        <f>H29-G29-E29</f>
        <v>285.02169786716513</v>
      </c>
    </row>
    <row r="30" spans="1:9" x14ac:dyDescent="0.25">
      <c r="A30">
        <v>13</v>
      </c>
      <c r="B30" s="10">
        <f>B29-$D$5*B29</f>
        <v>34428.046295973931</v>
      </c>
      <c r="C30" s="10">
        <f>C29-F29</f>
        <v>16528.246128143386</v>
      </c>
      <c r="D30" s="10">
        <f>C30*$D$8</f>
        <v>925.5817831760296</v>
      </c>
      <c r="E30" s="10">
        <f>$D$13</f>
        <v>6137.6717497190493</v>
      </c>
      <c r="F30" s="10">
        <f>E30-D30</f>
        <v>5212.0899665430197</v>
      </c>
      <c r="G30" s="10">
        <f>$D$11</f>
        <v>612</v>
      </c>
      <c r="H30" s="10">
        <f>B30*$D$12</f>
        <v>6985.4505934531107</v>
      </c>
      <c r="I30" s="10">
        <f>H30-G30-E30</f>
        <v>235.77884373406141</v>
      </c>
    </row>
    <row r="31" spans="1:9" x14ac:dyDescent="0.25">
      <c r="A31">
        <v>14</v>
      </c>
      <c r="B31" s="10">
        <f>B30-$D$5*B30</f>
        <v>34187.04997190211</v>
      </c>
      <c r="C31" s="10">
        <f>C30-F30</f>
        <v>11316.156161600367</v>
      </c>
      <c r="D31" s="10">
        <f>C31*$D$8</f>
        <v>633.70474504962056</v>
      </c>
      <c r="E31" s="10">
        <f>$D$13</f>
        <v>6137.6717497190493</v>
      </c>
      <c r="F31" s="10">
        <f>E31-D31</f>
        <v>5503.9670046694291</v>
      </c>
      <c r="G31" s="10">
        <f>$D$11</f>
        <v>612</v>
      </c>
      <c r="H31" s="10">
        <f>B31*$D$12</f>
        <v>6936.5524392989382</v>
      </c>
      <c r="I31" s="10">
        <f>H31-G31-E31</f>
        <v>186.88068957988889</v>
      </c>
    </row>
    <row r="32" spans="1:9" x14ac:dyDescent="0.25">
      <c r="A32">
        <v>15</v>
      </c>
      <c r="B32" s="10">
        <f>B31-$D$5*B31</f>
        <v>33947.740622098798</v>
      </c>
      <c r="C32" s="10">
        <f>C31-F31</f>
        <v>5812.1891569309382</v>
      </c>
      <c r="D32" s="10">
        <f>C32*$D$8</f>
        <v>325.48259278813254</v>
      </c>
      <c r="E32" s="10">
        <f>$D$13</f>
        <v>6137.6717497190493</v>
      </c>
      <c r="F32" s="10">
        <f>E32-D32</f>
        <v>5812.1891569309164</v>
      </c>
      <c r="G32" s="10">
        <f>$D$11</f>
        <v>612</v>
      </c>
      <c r="H32" s="10">
        <f>B32*$D$12</f>
        <v>6887.9965722238458</v>
      </c>
      <c r="I32" s="10">
        <f>H32-G32-E32</f>
        <v>138.32482250479643</v>
      </c>
    </row>
    <row r="33" spans="1:9" x14ac:dyDescent="0.25">
      <c r="A33">
        <v>16</v>
      </c>
      <c r="B33" s="10">
        <f>B32-$D$5*B32</f>
        <v>33710.106437744107</v>
      </c>
      <c r="C33" s="10">
        <f>C32-F32</f>
        <v>2.1827872842550278E-11</v>
      </c>
      <c r="D33" s="10">
        <f>C33*$D$8</f>
        <v>1.2223608791828156E-12</v>
      </c>
      <c r="E33" s="10">
        <v>0</v>
      </c>
      <c r="F33" s="10">
        <f>E33-D33</f>
        <v>-1.2223608791828156E-12</v>
      </c>
      <c r="G33" s="10">
        <f>$D$11</f>
        <v>612</v>
      </c>
      <c r="H33" s="10">
        <f>B33*$D$12</f>
        <v>6839.7805962182792</v>
      </c>
      <c r="I33" s="10">
        <f>H33-G33-E33</f>
        <v>6227.7805962182792</v>
      </c>
    </row>
    <row r="34" spans="1:9" x14ac:dyDescent="0.25">
      <c r="A34">
        <v>17</v>
      </c>
      <c r="B34" s="10">
        <f>B33-$D$5*B33</f>
        <v>33474.135692679898</v>
      </c>
      <c r="C34" s="10">
        <f>C33-F33</f>
        <v>2.3050233721733094E-11</v>
      </c>
      <c r="D34" s="10">
        <f>C34*$D$8</f>
        <v>1.2908130884170533E-12</v>
      </c>
      <c r="E34" s="10">
        <v>0</v>
      </c>
      <c r="F34" s="10">
        <f>E34-D34</f>
        <v>-1.2908130884170533E-12</v>
      </c>
      <c r="G34" s="10">
        <f>$D$11</f>
        <v>612</v>
      </c>
      <c r="H34" s="10">
        <f>B34*$D$12</f>
        <v>6791.9021320447509</v>
      </c>
      <c r="I34" s="10">
        <f>H34-G34-E34</f>
        <v>6179.9021320447509</v>
      </c>
    </row>
    <row r="35" spans="1:9" x14ac:dyDescent="0.25">
      <c r="A35">
        <v>18</v>
      </c>
      <c r="B35" s="10">
        <f>B34-$D$5*B34</f>
        <v>33239.816742831135</v>
      </c>
      <c r="C35" s="10">
        <f>C34-F34</f>
        <v>2.4341046810150146E-11</v>
      </c>
      <c r="D35" s="10">
        <f>C35*$D$8</f>
        <v>1.3630986213684082E-12</v>
      </c>
      <c r="E35" s="10">
        <v>0</v>
      </c>
      <c r="F35" s="10">
        <f>E35-D35</f>
        <v>-1.3630986213684082E-12</v>
      </c>
      <c r="G35" s="10">
        <f>$D$11</f>
        <v>612</v>
      </c>
      <c r="H35" s="10">
        <f>B35*$D$12</f>
        <v>6744.3588171204374</v>
      </c>
      <c r="I35" s="10">
        <f>H35-G35-E35</f>
        <v>6132.3588171204374</v>
      </c>
    </row>
    <row r="36" spans="1:9" x14ac:dyDescent="0.25">
      <c r="A36">
        <v>19</v>
      </c>
      <c r="B36" s="10">
        <f>B35-$D$5*B35</f>
        <v>33007.13802563132</v>
      </c>
      <c r="C36" s="10">
        <f>C35-F35</f>
        <v>2.5704145431518555E-11</v>
      </c>
      <c r="D36" s="10">
        <f>C36*$D$8</f>
        <v>1.4394321441650392E-12</v>
      </c>
      <c r="E36" s="10">
        <v>0</v>
      </c>
      <c r="F36" s="10">
        <f>E36-D36</f>
        <v>-1.4394321441650392E-12</v>
      </c>
      <c r="G36" s="10">
        <f>$D$11</f>
        <v>612</v>
      </c>
      <c r="H36" s="10">
        <f>B36*$D$12</f>
        <v>6697.1483054005948</v>
      </c>
      <c r="I36" s="10">
        <f>H36-G36-E36</f>
        <v>6085.1483054005948</v>
      </c>
    </row>
    <row r="37" spans="1:9" x14ac:dyDescent="0.25">
      <c r="A37">
        <v>20</v>
      </c>
      <c r="B37" s="10">
        <f>B36-$D$5*B36</f>
        <v>32776.088059451904</v>
      </c>
      <c r="C37" s="10">
        <f>C36-F36</f>
        <v>2.7143577575683594E-11</v>
      </c>
      <c r="D37" s="10">
        <f>C37*$D$8</f>
        <v>1.5200403442382814E-12</v>
      </c>
      <c r="E37" s="10">
        <v>0</v>
      </c>
      <c r="F37" s="10">
        <f>E37-D37</f>
        <v>-1.5200403442382814E-12</v>
      </c>
      <c r="G37" s="10">
        <f>$D$11</f>
        <v>612</v>
      </c>
      <c r="H37" s="10">
        <f>B37*$D$12</f>
        <v>6650.2682672627916</v>
      </c>
      <c r="I37" s="10">
        <f>H37-G37-E37</f>
        <v>6038.2682672627916</v>
      </c>
    </row>
    <row r="38" spans="1:9" x14ac:dyDescent="0.25">
      <c r="A38">
        <v>21</v>
      </c>
      <c r="B38" s="10">
        <f>B37-$D$5*B37</f>
        <v>32546.655443035739</v>
      </c>
      <c r="C38" s="10">
        <f>C37-F37</f>
        <v>2.8663617919921875E-11</v>
      </c>
      <c r="D38" s="10">
        <f>C38*$D$8</f>
        <v>1.6051626035156251E-12</v>
      </c>
      <c r="E38" s="10">
        <v>0</v>
      </c>
      <c r="F38" s="10">
        <f>E38-D38</f>
        <v>-1.6051626035156251E-12</v>
      </c>
      <c r="G38" s="10">
        <f>$D$11</f>
        <v>612</v>
      </c>
      <c r="H38" s="10">
        <f>B38*$D$12</f>
        <v>6603.7163893919515</v>
      </c>
      <c r="I38" s="10">
        <f>H38-G38-E38</f>
        <v>5991.7163893919515</v>
      </c>
    </row>
    <row r="39" spans="1:9" x14ac:dyDescent="0.25">
      <c r="A39">
        <v>22</v>
      </c>
      <c r="B39" s="10">
        <f>B38-$D$5*B38</f>
        <v>32318.828854934491</v>
      </c>
      <c r="C39" s="10">
        <f>C38-F38</f>
        <v>3.0268780523437503E-11</v>
      </c>
      <c r="D39" s="10">
        <f>C39*$D$8</f>
        <v>1.6950517093125002E-12</v>
      </c>
      <c r="E39" s="10">
        <v>0</v>
      </c>
      <c r="F39" s="10">
        <f>E39-D39</f>
        <v>-1.6950517093125002E-12</v>
      </c>
      <c r="G39" s="10">
        <f>$D$11</f>
        <v>612</v>
      </c>
      <c r="H39" s="10">
        <f>B39*$D$12</f>
        <v>6557.4903746662085</v>
      </c>
      <c r="I39" s="10">
        <f>H39-G39-E39</f>
        <v>5945.4903746662085</v>
      </c>
    </row>
    <row r="40" spans="1:9" x14ac:dyDescent="0.25">
      <c r="A40">
        <v>23</v>
      </c>
      <c r="B40" s="10">
        <f>B39-$D$5*B39</f>
        <v>32092.59705294995</v>
      </c>
      <c r="C40" s="10">
        <f>C39-F39</f>
        <v>3.1963832232750001E-11</v>
      </c>
      <c r="D40" s="10">
        <f>C40*$D$8</f>
        <v>1.789974605034E-12</v>
      </c>
      <c r="E40" s="10">
        <v>0</v>
      </c>
      <c r="F40" s="10">
        <f>E40-D40</f>
        <v>-1.789974605034E-12</v>
      </c>
      <c r="G40" s="10">
        <f>$D$11</f>
        <v>612</v>
      </c>
      <c r="H40" s="10">
        <f>B40*$D$12</f>
        <v>6511.5879420435449</v>
      </c>
      <c r="I40" s="10">
        <f>H40-G40-E40</f>
        <v>5899.5879420435449</v>
      </c>
    </row>
    <row r="41" spans="1:9" x14ac:dyDescent="0.25">
      <c r="A41">
        <v>24</v>
      </c>
      <c r="B41" s="10">
        <f>B40-$D$5*B40</f>
        <v>31867.948873579302</v>
      </c>
      <c r="C41" s="10">
        <f>C40-F40</f>
        <v>3.3753806837784001E-11</v>
      </c>
      <c r="D41" s="10">
        <f>C41*$D$8</f>
        <v>1.8902131829159041E-12</v>
      </c>
      <c r="E41" s="10">
        <v>0</v>
      </c>
      <c r="F41" s="10">
        <f>E41-D41</f>
        <v>-1.8902131829159041E-12</v>
      </c>
      <c r="G41" s="10">
        <f>$D$11</f>
        <v>612</v>
      </c>
      <c r="H41" s="10">
        <f>B41*$D$12</f>
        <v>6466.0068264492402</v>
      </c>
      <c r="I41" s="10">
        <f>H41-G41-E41</f>
        <v>5854.0068264492402</v>
      </c>
    </row>
    <row r="42" spans="1:9" x14ac:dyDescent="0.25">
      <c r="A42">
        <v>25</v>
      </c>
      <c r="B42" s="10">
        <f>B41-$D$5*B41</f>
        <v>31644.873231464248</v>
      </c>
      <c r="C42" s="10">
        <f>C41-F41</f>
        <v>3.5644020020699904E-11</v>
      </c>
      <c r="D42" s="10">
        <f>C42*$D$8</f>
        <v>1.9960651211591948E-12</v>
      </c>
      <c r="E42" s="10">
        <v>0</v>
      </c>
      <c r="F42" s="10">
        <f>E42-D42</f>
        <v>-1.9960651211591948E-12</v>
      </c>
      <c r="G42" s="10">
        <f>$D$11</f>
        <v>612</v>
      </c>
      <c r="H42" s="10">
        <f>B42*$D$12</f>
        <v>6420.744778664096</v>
      </c>
      <c r="I42" s="10">
        <f>H42-G42-E42</f>
        <v>5808.744778664096</v>
      </c>
    </row>
    <row r="44" spans="1:9" x14ac:dyDescent="0.25">
      <c r="B44" s="10"/>
      <c r="C44" s="10"/>
      <c r="D44" s="10">
        <f>SUM(D18:D42)</f>
        <v>30865.076245785771</v>
      </c>
      <c r="E44" s="10">
        <f>SUM(E18:E42)</f>
        <v>92065.076245785749</v>
      </c>
      <c r="F44" s="10">
        <f>SUM(F18:F42)</f>
        <v>61199.999999999978</v>
      </c>
      <c r="G44" s="10">
        <f>SUM(G18:G42)</f>
        <v>15300</v>
      </c>
      <c r="H44" s="10">
        <f>SUM(H18:H42)</f>
        <v>174860.40496950736</v>
      </c>
      <c r="I44" s="10">
        <f>SUM(I18:I42)</f>
        <v>67495.328723721657</v>
      </c>
    </row>
  </sheetData>
  <mergeCells count="12">
    <mergeCell ref="A2:C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Zadatak_41</vt:lpstr>
      <vt:lpstr>Zadatak_42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2021-05-09T18:03:06Z</dcterms:created>
  <dcterms:modified xsi:type="dcterms:W3CDTF">2021-05-09T22:15:20Z</dcterms:modified>
</cp:coreProperties>
</file>