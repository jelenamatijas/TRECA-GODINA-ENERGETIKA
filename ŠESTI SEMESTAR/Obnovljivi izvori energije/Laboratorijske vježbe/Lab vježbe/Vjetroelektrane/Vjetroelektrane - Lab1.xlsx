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2995" windowHeight="10050" activeTab="3"/>
  </bookViews>
  <sheets>
    <sheet name="Zadatak 1 a" sheetId="1" r:id="rId1"/>
    <sheet name="Zadatak 1 b" sheetId="2" r:id="rId2"/>
    <sheet name="Zadatak 1 c" sheetId="3" r:id="rId3"/>
    <sheet name="Zadatak 2" sheetId="4" r:id="rId4"/>
  </sheets>
  <definedNames>
    <definedName name="solver_adj" localSheetId="3" hidden="1">'Zadatak 2'!$B$10</definedName>
    <definedName name="solver_cvg" localSheetId="3" hidden="1">0.0001</definedName>
    <definedName name="solver_drv" localSheetId="3" hidden="1">1</definedName>
    <definedName name="solver_eng" localSheetId="3" hidden="1">1</definedName>
    <definedName name="solver_est" localSheetId="3" hidden="1">1</definedName>
    <definedName name="solver_itr" localSheetId="3" hidden="1">2147483647</definedName>
    <definedName name="solver_lhs1" localSheetId="3" hidden="1">'Zadatak 2'!$B$9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0</definedName>
    <definedName name="solver_nwt" localSheetId="3" hidden="1">1</definedName>
    <definedName name="solver_opt" localSheetId="3" hidden="1">'Zadatak 2'!$B$20</definedName>
    <definedName name="solver_pre" localSheetId="3" hidden="1">0.000001</definedName>
    <definedName name="solver_rbv" localSheetId="3" hidden="1">1</definedName>
    <definedName name="solver_rel1" localSheetId="3" hidden="1">3</definedName>
    <definedName name="solver_rhs1" localSheetId="3" hidden="1">'Zadatak 2'!$B$8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3</definedName>
    <definedName name="solver_val" localSheetId="3" hidden="1">10000</definedName>
    <definedName name="solver_ver" localSheetId="3" hidden="1">3</definedName>
  </definedNames>
  <calcPr calcId="144525"/>
</workbook>
</file>

<file path=xl/calcChain.xml><?xml version="1.0" encoding="utf-8"?>
<calcChain xmlns="http://schemas.openxmlformats.org/spreadsheetml/2006/main">
  <c r="B17" i="4" l="1"/>
  <c r="B16" i="4"/>
  <c r="B15" i="4"/>
  <c r="B19" i="4" s="1"/>
  <c r="B20" i="4" s="1"/>
  <c r="B22" i="4" s="1"/>
  <c r="B14" i="4"/>
  <c r="G3" i="4"/>
  <c r="H3" i="4"/>
  <c r="I3" i="4"/>
  <c r="J3" i="4"/>
  <c r="K3" i="4"/>
  <c r="F3" i="4"/>
  <c r="K2" i="4"/>
  <c r="B12" i="3"/>
  <c r="B11" i="3"/>
  <c r="B8" i="3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14" i="2"/>
  <c r="B8" i="2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12" i="1"/>
  <c r="B18" i="4" l="1"/>
  <c r="B21" i="4" s="1"/>
</calcChain>
</file>

<file path=xl/sharedStrings.xml><?xml version="1.0" encoding="utf-8"?>
<sst xmlns="http://schemas.openxmlformats.org/spreadsheetml/2006/main" count="95" uniqueCount="56">
  <si>
    <t>Podaci</t>
  </si>
  <si>
    <t>kg/m^3</t>
  </si>
  <si>
    <t>Temperatura</t>
  </si>
  <si>
    <t>Pa</t>
  </si>
  <si>
    <t>Mv</t>
  </si>
  <si>
    <t>g/mol</t>
  </si>
  <si>
    <t>R</t>
  </si>
  <si>
    <t>J/molK</t>
  </si>
  <si>
    <t>Kt</t>
  </si>
  <si>
    <t>Ka</t>
  </si>
  <si>
    <t>Gustina vazduha</t>
  </si>
  <si>
    <t>Pritisak</t>
  </si>
  <si>
    <t>K</t>
  </si>
  <si>
    <r>
      <t>Temperatura [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charset val="238"/>
      </rPr>
      <t>C]</t>
    </r>
  </si>
  <si>
    <t>Temperatura [K]</t>
  </si>
  <si>
    <t>Gustina vazduha [kg/m^3]</t>
  </si>
  <si>
    <t>°C</t>
  </si>
  <si>
    <t>Nadmorska visina [m]</t>
  </si>
  <si>
    <t>m/s^2</t>
  </si>
  <si>
    <t>g</t>
  </si>
  <si>
    <t>Pritisak [Pa]</t>
  </si>
  <si>
    <t xml:space="preserve">Nadmorska visina </t>
  </si>
  <si>
    <t>m</t>
  </si>
  <si>
    <t>Pritisak na željenoj nadmorskoj visini</t>
  </si>
  <si>
    <t>Pritisak na 0m</t>
  </si>
  <si>
    <t>Gustina vazduha na željenoj nadmorskoj visini i pri željenoj temperaturi</t>
  </si>
  <si>
    <t>alfa</t>
  </si>
  <si>
    <t>Efikasnost</t>
  </si>
  <si>
    <t xml:space="preserve">Cijena </t>
  </si>
  <si>
    <t>Masa</t>
  </si>
  <si>
    <t>Brzina vjetra [m/s]</t>
  </si>
  <si>
    <t>Interval [h]</t>
  </si>
  <si>
    <t>Broj sati u godini</t>
  </si>
  <si>
    <t>h</t>
  </si>
  <si>
    <t xml:space="preserve">Visina mjerenja </t>
  </si>
  <si>
    <t>Visina stuba</t>
  </si>
  <si>
    <t>Površina koju zahvataju lopatice</t>
  </si>
  <si>
    <t>Proračun</t>
  </si>
  <si>
    <t>m/s</t>
  </si>
  <si>
    <r>
      <t>v</t>
    </r>
    <r>
      <rPr>
        <vertAlign val="subscript"/>
        <sz val="11"/>
        <color theme="1"/>
        <rFont val="Calibri"/>
        <family val="2"/>
        <scheme val="minor"/>
      </rPr>
      <t>eff(visina stuba)</t>
    </r>
  </si>
  <si>
    <r>
      <t>v</t>
    </r>
    <r>
      <rPr>
        <vertAlign val="subscript"/>
        <sz val="11"/>
        <color theme="1"/>
        <rFont val="Calibri"/>
        <family val="2"/>
        <scheme val="minor"/>
      </rPr>
      <t>eff(10m)</t>
    </r>
  </si>
  <si>
    <r>
      <t>KM/m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</si>
  <si>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kg/m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</si>
  <si>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kg/m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</si>
  <si>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</si>
  <si>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v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charset val="238"/>
        <scheme val="minor"/>
      </rPr>
      <t>*t</t>
    </r>
  </si>
  <si>
    <r>
      <t>C</t>
    </r>
    <r>
      <rPr>
        <vertAlign val="subscript"/>
        <sz val="11"/>
        <color theme="1"/>
        <rFont val="Calibri"/>
        <family val="2"/>
        <scheme val="minor"/>
      </rPr>
      <t>o</t>
    </r>
  </si>
  <si>
    <t>KM</t>
  </si>
  <si>
    <r>
      <t>C</t>
    </r>
    <r>
      <rPr>
        <vertAlign val="subscript"/>
        <sz val="11"/>
        <color theme="1"/>
        <rFont val="Calibri"/>
        <family val="2"/>
        <scheme val="minor"/>
      </rPr>
      <t>s</t>
    </r>
  </si>
  <si>
    <t>C</t>
  </si>
  <si>
    <t>Pv</t>
  </si>
  <si>
    <t>W</t>
  </si>
  <si>
    <t>Pg</t>
  </si>
  <si>
    <t>c</t>
  </si>
  <si>
    <t>KM/W</t>
  </si>
  <si>
    <t>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</si>
</sst>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6" formatCode="0.000"/>
    <numFmt numFmtId="167" formatCode="0.0000"/>
    <numFmt numFmtId="171" formatCode="0.00000"/>
  </numFmts>
  <fonts count="5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charset val="238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/>
    <xf numFmtId="166" fontId="0" fillId="0" borderId="0" xfId="0" applyNumberFormat="1"/>
    <xf numFmtId="171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71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7" fontId="0" fillId="0" borderId="1" xfId="0" applyNumberFormat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'Zadatak 1 a'!$D$11</c:f>
              <c:strCache>
                <c:ptCount val="1"/>
                <c:pt idx="0">
                  <c:v>Kt</c:v>
                </c:pt>
              </c:strCache>
            </c:strRef>
          </c:tx>
          <c:marker>
            <c:symbol val="none"/>
          </c:marker>
          <c:xVal>
            <c:numRef>
              <c:f>'Zadatak 1 a'!$A$12:$A$45</c:f>
              <c:numCache>
                <c:formatCode>0.00</c:formatCode>
                <c:ptCount val="34"/>
                <c:pt idx="0">
                  <c:v>-21</c:v>
                </c:pt>
                <c:pt idx="1">
                  <c:v>-19</c:v>
                </c:pt>
                <c:pt idx="2">
                  <c:v>-17</c:v>
                </c:pt>
                <c:pt idx="3">
                  <c:v>-15</c:v>
                </c:pt>
                <c:pt idx="4">
                  <c:v>-13</c:v>
                </c:pt>
                <c:pt idx="5">
                  <c:v>-11</c:v>
                </c:pt>
                <c:pt idx="6">
                  <c:v>-9</c:v>
                </c:pt>
                <c:pt idx="7">
                  <c:v>-7</c:v>
                </c:pt>
                <c:pt idx="8">
                  <c:v>-5</c:v>
                </c:pt>
                <c:pt idx="9">
                  <c:v>-3</c:v>
                </c:pt>
                <c:pt idx="10">
                  <c:v>-1</c:v>
                </c:pt>
                <c:pt idx="11">
                  <c:v>1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9</c:v>
                </c:pt>
                <c:pt idx="16">
                  <c:v>11</c:v>
                </c:pt>
                <c:pt idx="17">
                  <c:v>13</c:v>
                </c:pt>
                <c:pt idx="18">
                  <c:v>15</c:v>
                </c:pt>
                <c:pt idx="19">
                  <c:v>17</c:v>
                </c:pt>
                <c:pt idx="20">
                  <c:v>19</c:v>
                </c:pt>
                <c:pt idx="21">
                  <c:v>21</c:v>
                </c:pt>
                <c:pt idx="22">
                  <c:v>23</c:v>
                </c:pt>
                <c:pt idx="23">
                  <c:v>25</c:v>
                </c:pt>
                <c:pt idx="24">
                  <c:v>27</c:v>
                </c:pt>
                <c:pt idx="25">
                  <c:v>29</c:v>
                </c:pt>
                <c:pt idx="26">
                  <c:v>31</c:v>
                </c:pt>
                <c:pt idx="27">
                  <c:v>33</c:v>
                </c:pt>
                <c:pt idx="28">
                  <c:v>35</c:v>
                </c:pt>
                <c:pt idx="29">
                  <c:v>37</c:v>
                </c:pt>
                <c:pt idx="30">
                  <c:v>39</c:v>
                </c:pt>
                <c:pt idx="31">
                  <c:v>41</c:v>
                </c:pt>
                <c:pt idx="32">
                  <c:v>43</c:v>
                </c:pt>
                <c:pt idx="33">
                  <c:v>45</c:v>
                </c:pt>
              </c:numCache>
            </c:numRef>
          </c:xVal>
          <c:yVal>
            <c:numRef>
              <c:f>'Zadatak 1 a'!$D$12:$D$45</c:f>
              <c:numCache>
                <c:formatCode>0.000</c:formatCode>
                <c:ptCount val="34"/>
                <c:pt idx="0">
                  <c:v>1.1429895668500842</c:v>
                </c:pt>
                <c:pt idx="1">
                  <c:v>1.1339949607761115</c:v>
                </c:pt>
                <c:pt idx="2">
                  <c:v>1.1251408131221889</c:v>
                </c:pt>
                <c:pt idx="3">
                  <c:v>1.1164238593114419</c:v>
                </c:pt>
                <c:pt idx="4">
                  <c:v>1.1078409351575966</c:v>
                </c:pt>
                <c:pt idx="5">
                  <c:v>1.0993889730354709</c:v>
                </c:pt>
                <c:pt idx="6">
                  <c:v>1.0910649982254355</c:v>
                </c:pt>
                <c:pt idx="7">
                  <c:v>1.0828661254226892</c:v>
                </c:pt>
                <c:pt idx="8">
                  <c:v>1.0747895554027549</c:v>
                </c:pt>
                <c:pt idx="9">
                  <c:v>1.0668325718350868</c:v>
                </c:pt>
                <c:pt idx="10">
                  <c:v>1.0589925382371808</c:v>
                </c:pt>
                <c:pt idx="11">
                  <c:v>1.0512668950620052</c:v>
                </c:pt>
                <c:pt idx="12">
                  <c:v>1.0436531569119998</c:v>
                </c:pt>
                <c:pt idx="13">
                  <c:v>1.0361489098732652</c:v>
                </c:pt>
                <c:pt idx="14">
                  <c:v>1.0287518089639431</c:v>
                </c:pt>
                <c:pt idx="15">
                  <c:v>1.0214595756911173</c:v>
                </c:pt>
                <c:pt idx="16">
                  <c:v>1.0142699957108874</c:v>
                </c:pt>
                <c:pt idx="17">
                  <c:v>1.0071809165865759</c:v>
                </c:pt>
                <c:pt idx="18">
                  <c:v>1.0001902456402871</c:v>
                </c:pt>
                <c:pt idx="19">
                  <c:v>0.99329594789332665</c:v>
                </c:pt>
                <c:pt idx="20">
                  <c:v>0.98649604409121583</c:v>
                </c:pt>
                <c:pt idx="21">
                  <c:v>0.97978860880927665</c:v>
                </c:pt>
                <c:pt idx="22">
                  <c:v>0.97317176863497801</c:v>
                </c:pt>
                <c:pt idx="23">
                  <c:v>0.96664370042344028</c:v>
                </c:pt>
                <c:pt idx="24">
                  <c:v>0.96020262962268443</c:v>
                </c:pt>
                <c:pt idx="25">
                  <c:v>0.95384682866539383</c:v>
                </c:pt>
                <c:pt idx="26">
                  <c:v>0.94757461542412846</c:v>
                </c:pt>
                <c:pt idx="27">
                  <c:v>0.94138435172709034</c:v>
                </c:pt>
                <c:pt idx="28">
                  <c:v>0.93527444193168485</c:v>
                </c:pt>
                <c:pt idx="29">
                  <c:v>0.92924333155327654</c:v>
                </c:pt>
                <c:pt idx="30">
                  <c:v>0.92328950594665604</c:v>
                </c:pt>
                <c:pt idx="31">
                  <c:v>0.91741148903787595</c:v>
                </c:pt>
                <c:pt idx="32">
                  <c:v>0.91160784210421864</c:v>
                </c:pt>
                <c:pt idx="33">
                  <c:v>0.90587716260018447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60896"/>
        <c:axId val="162959360"/>
      </c:scatterChart>
      <c:valAx>
        <c:axId val="162960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r-Latn-BA"/>
                  <a:t>Temperatura</a:t>
                </a:r>
                <a:r>
                  <a:rPr lang="sr-Latn-BA" baseline="0"/>
                  <a:t> ambijenta [°C]</a:t>
                </a:r>
                <a:endParaRPr lang="en-US"/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crossAx val="162959360"/>
        <c:crosses val="autoZero"/>
        <c:crossBetween val="midCat"/>
      </c:valAx>
      <c:valAx>
        <c:axId val="16295936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sr-Latn-BA"/>
                  <a:t>Kt</a:t>
                </a:r>
                <a:endParaRPr lang="en-US"/>
              </a:p>
            </c:rich>
          </c:tx>
          <c:layout/>
          <c:overlay val="0"/>
        </c:title>
        <c:numFmt formatCode="0.000" sourceLinked="1"/>
        <c:majorTickMark val="out"/>
        <c:minorTickMark val="none"/>
        <c:tickLblPos val="nextTo"/>
        <c:crossAx val="162960896"/>
        <c:crossesAt val="-30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'Zadatak 1 a'!$C$11</c:f>
              <c:strCache>
                <c:ptCount val="1"/>
                <c:pt idx="0">
                  <c:v>Gustina vazduha [kg/m^3]</c:v>
                </c:pt>
              </c:strCache>
            </c:strRef>
          </c:tx>
          <c:marker>
            <c:symbol val="none"/>
          </c:marker>
          <c:xVal>
            <c:numRef>
              <c:f>'Zadatak 1 a'!$A$12:$A$45</c:f>
              <c:numCache>
                <c:formatCode>0.00</c:formatCode>
                <c:ptCount val="34"/>
                <c:pt idx="0">
                  <c:v>-21</c:v>
                </c:pt>
                <c:pt idx="1">
                  <c:v>-19</c:v>
                </c:pt>
                <c:pt idx="2">
                  <c:v>-17</c:v>
                </c:pt>
                <c:pt idx="3">
                  <c:v>-15</c:v>
                </c:pt>
                <c:pt idx="4">
                  <c:v>-13</c:v>
                </c:pt>
                <c:pt idx="5">
                  <c:v>-11</c:v>
                </c:pt>
                <c:pt idx="6">
                  <c:v>-9</c:v>
                </c:pt>
                <c:pt idx="7">
                  <c:v>-7</c:v>
                </c:pt>
                <c:pt idx="8">
                  <c:v>-5</c:v>
                </c:pt>
                <c:pt idx="9">
                  <c:v>-3</c:v>
                </c:pt>
                <c:pt idx="10">
                  <c:v>-1</c:v>
                </c:pt>
                <c:pt idx="11">
                  <c:v>1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9</c:v>
                </c:pt>
                <c:pt idx="16">
                  <c:v>11</c:v>
                </c:pt>
                <c:pt idx="17">
                  <c:v>13</c:v>
                </c:pt>
                <c:pt idx="18">
                  <c:v>15</c:v>
                </c:pt>
                <c:pt idx="19">
                  <c:v>17</c:v>
                </c:pt>
                <c:pt idx="20">
                  <c:v>19</c:v>
                </c:pt>
                <c:pt idx="21">
                  <c:v>21</c:v>
                </c:pt>
                <c:pt idx="22">
                  <c:v>23</c:v>
                </c:pt>
                <c:pt idx="23">
                  <c:v>25</c:v>
                </c:pt>
                <c:pt idx="24">
                  <c:v>27</c:v>
                </c:pt>
                <c:pt idx="25">
                  <c:v>29</c:v>
                </c:pt>
                <c:pt idx="26">
                  <c:v>31</c:v>
                </c:pt>
                <c:pt idx="27">
                  <c:v>33</c:v>
                </c:pt>
                <c:pt idx="28">
                  <c:v>35</c:v>
                </c:pt>
                <c:pt idx="29">
                  <c:v>37</c:v>
                </c:pt>
                <c:pt idx="30">
                  <c:v>39</c:v>
                </c:pt>
                <c:pt idx="31">
                  <c:v>41</c:v>
                </c:pt>
                <c:pt idx="32">
                  <c:v>43</c:v>
                </c:pt>
                <c:pt idx="33">
                  <c:v>45</c:v>
                </c:pt>
              </c:numCache>
            </c:numRef>
          </c:xVal>
          <c:yVal>
            <c:numRef>
              <c:f>'Zadatak 1 a'!$C$12:$C$45</c:f>
              <c:numCache>
                <c:formatCode>0.000</c:formatCode>
                <c:ptCount val="34"/>
                <c:pt idx="0">
                  <c:v>1.4001622193913532</c:v>
                </c:pt>
                <c:pt idx="1">
                  <c:v>1.3891438269507366</c:v>
                </c:pt>
                <c:pt idx="2">
                  <c:v>1.3782974960746814</c:v>
                </c:pt>
                <c:pt idx="3">
                  <c:v>1.3676192276565164</c:v>
                </c:pt>
                <c:pt idx="4">
                  <c:v>1.3571051455680558</c:v>
                </c:pt>
                <c:pt idx="5">
                  <c:v>1.346751491968452</c:v>
                </c:pt>
                <c:pt idx="6">
                  <c:v>1.3365546228261584</c:v>
                </c:pt>
                <c:pt idx="7">
                  <c:v>1.3265110036427943</c:v>
                </c:pt>
                <c:pt idx="8">
                  <c:v>1.3166172053683749</c:v>
                </c:pt>
                <c:pt idx="9">
                  <c:v>1.3068699004979814</c:v>
                </c:pt>
                <c:pt idx="10">
                  <c:v>1.2972658593405464</c:v>
                </c:pt>
                <c:pt idx="11">
                  <c:v>1.2878019464509565</c:v>
                </c:pt>
                <c:pt idx="12">
                  <c:v>1.2784751172171998</c:v>
                </c:pt>
                <c:pt idx="13">
                  <c:v>1.2692824145947501</c:v>
                </c:pt>
                <c:pt idx="14">
                  <c:v>1.2602209659808306</c:v>
                </c:pt>
                <c:pt idx="15">
                  <c:v>1.2512879802216188</c:v>
                </c:pt>
                <c:pt idx="16">
                  <c:v>1.2424807447458373</c:v>
                </c:pt>
                <c:pt idx="17">
                  <c:v>1.2337966228185557</c:v>
                </c:pt>
                <c:pt idx="18">
                  <c:v>1.2252330509093519</c:v>
                </c:pt>
                <c:pt idx="19">
                  <c:v>1.2167875361693252</c:v>
                </c:pt>
                <c:pt idx="20">
                  <c:v>1.2084576540117395</c:v>
                </c:pt>
                <c:pt idx="21">
                  <c:v>1.2002410457913639</c:v>
                </c:pt>
                <c:pt idx="22">
                  <c:v>1.1921354165778482</c:v>
                </c:pt>
                <c:pt idx="23">
                  <c:v>1.1841385330187144</c:v>
                </c:pt>
                <c:pt idx="24">
                  <c:v>1.1762482212877885</c:v>
                </c:pt>
                <c:pt idx="25">
                  <c:v>1.1684623651151076</c:v>
                </c:pt>
                <c:pt idx="26">
                  <c:v>1.1607789038945575</c:v>
                </c:pt>
                <c:pt idx="27">
                  <c:v>1.1531958308656858</c:v>
                </c:pt>
                <c:pt idx="28">
                  <c:v>1.1457111913663141</c:v>
                </c:pt>
                <c:pt idx="29">
                  <c:v>1.1383230811527638</c:v>
                </c:pt>
                <c:pt idx="30">
                  <c:v>1.1310296447846537</c:v>
                </c:pt>
                <c:pt idx="31">
                  <c:v>1.1238290740713981</c:v>
                </c:pt>
                <c:pt idx="32">
                  <c:v>1.1167196065776679</c:v>
                </c:pt>
                <c:pt idx="33">
                  <c:v>1.1096995241852261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11744"/>
        <c:axId val="46110208"/>
      </c:scatterChart>
      <c:valAx>
        <c:axId val="46111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r-Latn-BA"/>
                  <a:t>Temperatura ambijenta [°C]</a:t>
                </a:r>
                <a:endParaRPr lang="en-US"/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crossAx val="46110208"/>
        <c:crosses val="autoZero"/>
        <c:crossBetween val="midCat"/>
      </c:valAx>
      <c:valAx>
        <c:axId val="4611020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sr-Latn-BA"/>
                  <a:t>Gustina vazduha</a:t>
                </a:r>
                <a:r>
                  <a:rPr lang="sr-Latn-BA" baseline="0"/>
                  <a:t> [kg/m^3]</a:t>
                </a:r>
                <a:endParaRPr lang="en-US"/>
              </a:p>
            </c:rich>
          </c:tx>
          <c:layout/>
          <c:overlay val="0"/>
        </c:title>
        <c:numFmt formatCode="0.000" sourceLinked="1"/>
        <c:majorTickMark val="out"/>
        <c:minorTickMark val="none"/>
        <c:tickLblPos val="nextTo"/>
        <c:crossAx val="46111744"/>
        <c:crossesAt val="-30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'Zadatak 1 b'!$D$13</c:f>
              <c:strCache>
                <c:ptCount val="1"/>
                <c:pt idx="0">
                  <c:v>Ka</c:v>
                </c:pt>
              </c:strCache>
            </c:strRef>
          </c:tx>
          <c:marker>
            <c:symbol val="none"/>
          </c:marker>
          <c:xVal>
            <c:numRef>
              <c:f>'Zadatak 1 b'!$A$14:$A$54</c:f>
              <c:numCache>
                <c:formatCode>0.00</c:formatCode>
                <c:ptCount val="41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  <c:pt idx="25">
                  <c:v>1250</c:v>
                </c:pt>
                <c:pt idx="26">
                  <c:v>1300</c:v>
                </c:pt>
                <c:pt idx="27">
                  <c:v>1350</c:v>
                </c:pt>
                <c:pt idx="28">
                  <c:v>1400</c:v>
                </c:pt>
                <c:pt idx="29">
                  <c:v>1450</c:v>
                </c:pt>
                <c:pt idx="30">
                  <c:v>1500</c:v>
                </c:pt>
                <c:pt idx="31">
                  <c:v>1550</c:v>
                </c:pt>
                <c:pt idx="32">
                  <c:v>1600</c:v>
                </c:pt>
                <c:pt idx="33">
                  <c:v>1650</c:v>
                </c:pt>
                <c:pt idx="34">
                  <c:v>1700</c:v>
                </c:pt>
                <c:pt idx="35">
                  <c:v>1750</c:v>
                </c:pt>
                <c:pt idx="36">
                  <c:v>1800</c:v>
                </c:pt>
                <c:pt idx="37">
                  <c:v>1850</c:v>
                </c:pt>
                <c:pt idx="38">
                  <c:v>1900</c:v>
                </c:pt>
                <c:pt idx="39">
                  <c:v>1950</c:v>
                </c:pt>
                <c:pt idx="40">
                  <c:v>2000</c:v>
                </c:pt>
              </c:numCache>
            </c:numRef>
          </c:xVal>
          <c:yVal>
            <c:numRef>
              <c:f>'Zadatak 1 b'!$D$14:$D$54</c:f>
              <c:numCache>
                <c:formatCode>0.000</c:formatCode>
                <c:ptCount val="41"/>
                <c:pt idx="0">
                  <c:v>1.0001902456402871</c:v>
                </c:pt>
                <c:pt idx="1">
                  <c:v>0.99427549534297532</c:v>
                </c:pt>
                <c:pt idx="2">
                  <c:v>0.98839572266240405</c:v>
                </c:pt>
                <c:pt idx="3">
                  <c:v>0.98255072075405536</c:v>
                </c:pt>
                <c:pt idx="4">
                  <c:v>0.97674028399661295</c:v>
                </c:pt>
                <c:pt idx="5">
                  <c:v>0.97096420798472716</c:v>
                </c:pt>
                <c:pt idx="6">
                  <c:v>0.96522228952182465</c:v>
                </c:pt>
                <c:pt idx="7">
                  <c:v>0.95951432661296188</c:v>
                </c:pt>
                <c:pt idx="8">
                  <c:v>0.95384011845771655</c:v>
                </c:pt>
                <c:pt idx="9">
                  <c:v>0.94819946544312539</c:v>
                </c:pt>
                <c:pt idx="10">
                  <c:v>0.94259216913666088</c:v>
                </c:pt>
                <c:pt idx="11">
                  <c:v>0.93701803227925184</c:v>
                </c:pt>
                <c:pt idx="12">
                  <c:v>0.93147685877834208</c:v>
                </c:pt>
                <c:pt idx="13">
                  <c:v>0.9259684537009949</c:v>
                </c:pt>
                <c:pt idx="14">
                  <c:v>0.92049262326703241</c:v>
                </c:pt>
                <c:pt idx="15">
                  <c:v>0.91504917484222181</c:v>
                </c:pt>
                <c:pt idx="16">
                  <c:v>0.90963791693149476</c:v>
                </c:pt>
                <c:pt idx="17">
                  <c:v>0.90425865917221482</c:v>
                </c:pt>
                <c:pt idx="18">
                  <c:v>0.89891121232747839</c:v>
                </c:pt>
                <c:pt idx="19">
                  <c:v>0.89359538827945706</c:v>
                </c:pt>
                <c:pt idx="20">
                  <c:v>0.8883110000227824</c:v>
                </c:pt>
                <c:pt idx="21">
                  <c:v>0.88305786165796407</c:v>
                </c:pt>
                <c:pt idx="22">
                  <c:v>0.87783578838485232</c:v>
                </c:pt>
                <c:pt idx="23">
                  <c:v>0.87264459649613724</c:v>
                </c:pt>
                <c:pt idx="24">
                  <c:v>0.86748410337088289</c:v>
                </c:pt>
                <c:pt idx="25">
                  <c:v>0.8623541274681068</c:v>
                </c:pt>
                <c:pt idx="26">
                  <c:v>0.85725448832039186</c:v>
                </c:pt>
                <c:pt idx="27">
                  <c:v>0.85218500652753659</c:v>
                </c:pt>
                <c:pt idx="28">
                  <c:v>0.84714550375024578</c:v>
                </c:pt>
                <c:pt idx="29">
                  <c:v>0.84213580270385624</c:v>
                </c:pt>
                <c:pt idx="30">
                  <c:v>0.83715572715209874</c:v>
                </c:pt>
                <c:pt idx="31">
                  <c:v>0.83220510190090058</c:v>
                </c:pt>
                <c:pt idx="32">
                  <c:v>0.82728375279222022</c:v>
                </c:pt>
                <c:pt idx="33">
                  <c:v>0.82239150669792171</c:v>
                </c:pt>
                <c:pt idx="34">
                  <c:v>0.81752819151368483</c:v>
                </c:pt>
                <c:pt idx="35">
                  <c:v>0.81269363615294865</c:v>
                </c:pt>
                <c:pt idx="36">
                  <c:v>0.80788767054089461</c:v>
                </c:pt>
                <c:pt idx="37">
                  <c:v>0.80311012560846295</c:v>
                </c:pt>
                <c:pt idx="38">
                  <c:v>0.79836083328640506</c:v>
                </c:pt>
                <c:pt idx="39">
                  <c:v>0.79363962649937037</c:v>
                </c:pt>
                <c:pt idx="40">
                  <c:v>0.78894633916002987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031552"/>
        <c:axId val="171030016"/>
      </c:scatterChart>
      <c:valAx>
        <c:axId val="171031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r-Latn-BA"/>
                  <a:t>Nadmorska</a:t>
                </a:r>
                <a:r>
                  <a:rPr lang="sr-Latn-BA" baseline="0"/>
                  <a:t> visina [m]</a:t>
                </a:r>
                <a:endParaRPr lang="en-US"/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crossAx val="171030016"/>
        <c:crosses val="autoZero"/>
        <c:crossBetween val="midCat"/>
      </c:valAx>
      <c:valAx>
        <c:axId val="1710300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sr-Latn-BA"/>
                  <a:t>Ka</a:t>
                </a:r>
              </a:p>
            </c:rich>
          </c:tx>
          <c:layout/>
          <c:overlay val="0"/>
        </c:title>
        <c:numFmt formatCode="0.000" sourceLinked="1"/>
        <c:majorTickMark val="out"/>
        <c:minorTickMark val="none"/>
        <c:tickLblPos val="nextTo"/>
        <c:crossAx val="1710315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'Zadatak 1 b'!$C$13</c:f>
              <c:strCache>
                <c:ptCount val="1"/>
                <c:pt idx="0">
                  <c:v>Gustina vazduha [kg/m^3]</c:v>
                </c:pt>
              </c:strCache>
            </c:strRef>
          </c:tx>
          <c:marker>
            <c:symbol val="none"/>
          </c:marker>
          <c:xVal>
            <c:numRef>
              <c:f>'Zadatak 1 b'!$A$14:$A$54</c:f>
              <c:numCache>
                <c:formatCode>0.00</c:formatCode>
                <c:ptCount val="41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  <c:pt idx="25">
                  <c:v>1250</c:v>
                </c:pt>
                <c:pt idx="26">
                  <c:v>1300</c:v>
                </c:pt>
                <c:pt idx="27">
                  <c:v>1350</c:v>
                </c:pt>
                <c:pt idx="28">
                  <c:v>1400</c:v>
                </c:pt>
                <c:pt idx="29">
                  <c:v>1450</c:v>
                </c:pt>
                <c:pt idx="30">
                  <c:v>1500</c:v>
                </c:pt>
                <c:pt idx="31">
                  <c:v>1550</c:v>
                </c:pt>
                <c:pt idx="32">
                  <c:v>1600</c:v>
                </c:pt>
                <c:pt idx="33">
                  <c:v>1650</c:v>
                </c:pt>
                <c:pt idx="34">
                  <c:v>1700</c:v>
                </c:pt>
                <c:pt idx="35">
                  <c:v>1750</c:v>
                </c:pt>
                <c:pt idx="36">
                  <c:v>1800</c:v>
                </c:pt>
                <c:pt idx="37">
                  <c:v>1850</c:v>
                </c:pt>
                <c:pt idx="38">
                  <c:v>1900</c:v>
                </c:pt>
                <c:pt idx="39">
                  <c:v>1950</c:v>
                </c:pt>
                <c:pt idx="40">
                  <c:v>2000</c:v>
                </c:pt>
              </c:numCache>
            </c:numRef>
          </c:xVal>
          <c:yVal>
            <c:numRef>
              <c:f>'Zadatak 1 b'!$C$14:$C$54</c:f>
              <c:numCache>
                <c:formatCode>0.000</c:formatCode>
                <c:ptCount val="41"/>
                <c:pt idx="0">
                  <c:v>1.2252330509093519</c:v>
                </c:pt>
                <c:pt idx="1">
                  <c:v>1.2179874817951448</c:v>
                </c:pt>
                <c:pt idx="2">
                  <c:v>1.210784760261445</c:v>
                </c:pt>
                <c:pt idx="3">
                  <c:v>1.2036246329237179</c:v>
                </c:pt>
                <c:pt idx="4">
                  <c:v>1.1965068478958509</c:v>
                </c:pt>
                <c:pt idx="5">
                  <c:v>1.1894311547812908</c:v>
                </c:pt>
                <c:pt idx="6">
                  <c:v>1.1823973046642353</c:v>
                </c:pt>
                <c:pt idx="7">
                  <c:v>1.1754050501008784</c:v>
                </c:pt>
                <c:pt idx="8">
                  <c:v>1.1684541451107029</c:v>
                </c:pt>
                <c:pt idx="9">
                  <c:v>1.1615443451678287</c:v>
                </c:pt>
                <c:pt idx="10">
                  <c:v>1.1546754071924097</c:v>
                </c:pt>
                <c:pt idx="11">
                  <c:v>1.1478470895420836</c:v>
                </c:pt>
                <c:pt idx="12">
                  <c:v>1.1410591520034692</c:v>
                </c:pt>
                <c:pt idx="13">
                  <c:v>1.1343113557837188</c:v>
                </c:pt>
                <c:pt idx="14">
                  <c:v>1.1276034635021148</c:v>
                </c:pt>
                <c:pt idx="15">
                  <c:v>1.1209352391817218</c:v>
                </c:pt>
                <c:pt idx="16">
                  <c:v>1.1143064482410812</c:v>
                </c:pt>
                <c:pt idx="17">
                  <c:v>1.1077168574859633</c:v>
                </c:pt>
                <c:pt idx="18">
                  <c:v>1.1011662351011611</c:v>
                </c:pt>
                <c:pt idx="19">
                  <c:v>1.094654350642335</c:v>
                </c:pt>
                <c:pt idx="20">
                  <c:v>1.0881809750279086</c:v>
                </c:pt>
                <c:pt idx="21">
                  <c:v>1.0817458805310061</c:v>
                </c:pt>
                <c:pt idx="22">
                  <c:v>1.0753488407714442</c:v>
                </c:pt>
                <c:pt idx="23">
                  <c:v>1.0689896307077682</c:v>
                </c:pt>
                <c:pt idx="24">
                  <c:v>1.0626680266293316</c:v>
                </c:pt>
                <c:pt idx="25">
                  <c:v>1.056383806148431</c:v>
                </c:pt>
                <c:pt idx="26">
                  <c:v>1.0501367481924802</c:v>
                </c:pt>
                <c:pt idx="27">
                  <c:v>1.0439266329962325</c:v>
                </c:pt>
                <c:pt idx="28">
                  <c:v>1.0377532420940512</c:v>
                </c:pt>
                <c:pt idx="29">
                  <c:v>1.031616358312224</c:v>
                </c:pt>
                <c:pt idx="30">
                  <c:v>1.025515765761321</c:v>
                </c:pt>
                <c:pt idx="31">
                  <c:v>1.0194512498286032</c:v>
                </c:pt>
                <c:pt idx="32">
                  <c:v>1.0134225971704698</c:v>
                </c:pt>
                <c:pt idx="33">
                  <c:v>1.0074295957049542</c:v>
                </c:pt>
                <c:pt idx="34">
                  <c:v>1.001472034604264</c:v>
                </c:pt>
                <c:pt idx="35">
                  <c:v>0.99554970428736222</c:v>
                </c:pt>
                <c:pt idx="36">
                  <c:v>0.98966239641259601</c:v>
                </c:pt>
                <c:pt idx="37">
                  <c:v>0.98380990387036715</c:v>
                </c:pt>
                <c:pt idx="38">
                  <c:v>0.97799202077584624</c:v>
                </c:pt>
                <c:pt idx="39">
                  <c:v>0.97220854246172872</c:v>
                </c:pt>
                <c:pt idx="40">
                  <c:v>0.96645926547103667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252800"/>
        <c:axId val="174246912"/>
      </c:scatterChart>
      <c:valAx>
        <c:axId val="174252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r-Latn-BA"/>
                  <a:t>Nadmorska</a:t>
                </a:r>
                <a:r>
                  <a:rPr lang="sr-Latn-BA" baseline="0"/>
                  <a:t> visina [m]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crossAx val="174246912"/>
        <c:crosses val="autoZero"/>
        <c:crossBetween val="midCat"/>
      </c:valAx>
      <c:valAx>
        <c:axId val="1742469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sr-Latn-BA"/>
                  <a:t>Gustina</a:t>
                </a:r>
                <a:r>
                  <a:rPr lang="sr-Latn-BA" baseline="0"/>
                  <a:t> vazduha [kg/m^3]</a:t>
                </a:r>
                <a:endParaRPr lang="en-US"/>
              </a:p>
            </c:rich>
          </c:tx>
          <c:layout/>
          <c:overlay val="0"/>
        </c:title>
        <c:numFmt formatCode="0.000" sourceLinked="1"/>
        <c:majorTickMark val="out"/>
        <c:minorTickMark val="none"/>
        <c:tickLblPos val="nextTo"/>
        <c:crossAx val="1742528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</xdr:colOff>
      <xdr:row>9</xdr:row>
      <xdr:rowOff>180975</xdr:rowOff>
    </xdr:from>
    <xdr:to>
      <xdr:col>15</xdr:col>
      <xdr:colOff>352425</xdr:colOff>
      <xdr:row>24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95250</xdr:colOff>
      <xdr:row>25</xdr:row>
      <xdr:rowOff>28575</xdr:rowOff>
    </xdr:from>
    <xdr:to>
      <xdr:col>15</xdr:col>
      <xdr:colOff>400050</xdr:colOff>
      <xdr:row>39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12</xdr:row>
      <xdr:rowOff>19050</xdr:rowOff>
    </xdr:from>
    <xdr:to>
      <xdr:col>12</xdr:col>
      <xdr:colOff>323850</xdr:colOff>
      <xdr:row>26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19050</xdr:colOff>
      <xdr:row>27</xdr:row>
      <xdr:rowOff>19050</xdr:rowOff>
    </xdr:from>
    <xdr:to>
      <xdr:col>12</xdr:col>
      <xdr:colOff>323850</xdr:colOff>
      <xdr:row>41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zoomScaleNormal="100" workbookViewId="0">
      <selection activeCell="C12" sqref="C12"/>
    </sheetView>
  </sheetViews>
  <sheetFormatPr defaultRowHeight="15" x14ac:dyDescent="0.25"/>
  <cols>
    <col min="1" max="1" width="16.28515625" bestFit="1" customWidth="1"/>
    <col min="2" max="2" width="15.5703125" bestFit="1" customWidth="1"/>
    <col min="3" max="3" width="24.28515625" bestFit="1" customWidth="1"/>
  </cols>
  <sheetData>
    <row r="1" spans="1:10" x14ac:dyDescent="0.25">
      <c r="A1" s="1" t="s">
        <v>0</v>
      </c>
      <c r="B1" s="1"/>
      <c r="C1" s="1"/>
    </row>
    <row r="2" spans="1:10" x14ac:dyDescent="0.25">
      <c r="A2" s="3" t="s">
        <v>10</v>
      </c>
      <c r="B2">
        <v>1.2250000000000001</v>
      </c>
      <c r="C2" t="s">
        <v>1</v>
      </c>
    </row>
    <row r="3" spans="1:10" x14ac:dyDescent="0.25">
      <c r="A3" s="3" t="s">
        <v>11</v>
      </c>
      <c r="B3">
        <v>101325</v>
      </c>
      <c r="C3" t="s">
        <v>3</v>
      </c>
    </row>
    <row r="4" spans="1:10" x14ac:dyDescent="0.25">
      <c r="A4" s="3" t="s">
        <v>4</v>
      </c>
      <c r="B4">
        <v>28.97</v>
      </c>
      <c r="C4" t="s">
        <v>5</v>
      </c>
    </row>
    <row r="5" spans="1:10" x14ac:dyDescent="0.25">
      <c r="A5" s="3" t="s">
        <v>6</v>
      </c>
      <c r="B5">
        <v>8.3143399999999996</v>
      </c>
      <c r="C5" t="s">
        <v>7</v>
      </c>
    </row>
    <row r="6" spans="1:10" x14ac:dyDescent="0.25">
      <c r="A6" s="3" t="s">
        <v>12</v>
      </c>
      <c r="B6">
        <v>1E-3</v>
      </c>
    </row>
    <row r="11" spans="1:10" x14ac:dyDescent="0.25">
      <c r="A11" s="3" t="s">
        <v>13</v>
      </c>
      <c r="B11" t="s">
        <v>14</v>
      </c>
      <c r="C11" t="s">
        <v>15</v>
      </c>
      <c r="D11" s="3" t="s">
        <v>8</v>
      </c>
      <c r="E11" s="3"/>
      <c r="J11" s="3"/>
    </row>
    <row r="12" spans="1:10" x14ac:dyDescent="0.25">
      <c r="A12" s="4">
        <v>-21</v>
      </c>
      <c r="B12" s="4">
        <f>273.15+A12</f>
        <v>252.14999999999998</v>
      </c>
      <c r="C12" s="5">
        <f>($B$3*$B$4*$B$6)/($B$5*B12)</f>
        <v>1.4001622193913532</v>
      </c>
      <c r="D12" s="5">
        <f>C12/$B$2</f>
        <v>1.1429895668500842</v>
      </c>
    </row>
    <row r="13" spans="1:10" x14ac:dyDescent="0.25">
      <c r="A13" s="4">
        <v>-19</v>
      </c>
      <c r="B13" s="4">
        <f t="shared" ref="B13:B45" si="0">273.15+A13</f>
        <v>254.14999999999998</v>
      </c>
      <c r="C13" s="5">
        <f t="shared" ref="C13:C45" si="1">($B$3*$B$4*$B$6)/($B$5*B13)</f>
        <v>1.3891438269507366</v>
      </c>
      <c r="D13" s="5">
        <f t="shared" ref="D13:D45" si="2">C13/$B$2</f>
        <v>1.1339949607761115</v>
      </c>
    </row>
    <row r="14" spans="1:10" x14ac:dyDescent="0.25">
      <c r="A14" s="4">
        <v>-17</v>
      </c>
      <c r="B14" s="4">
        <f t="shared" si="0"/>
        <v>256.14999999999998</v>
      </c>
      <c r="C14" s="5">
        <f t="shared" si="1"/>
        <v>1.3782974960746814</v>
      </c>
      <c r="D14" s="5">
        <f t="shared" si="2"/>
        <v>1.1251408131221889</v>
      </c>
    </row>
    <row r="15" spans="1:10" x14ac:dyDescent="0.25">
      <c r="A15" s="4">
        <v>-15</v>
      </c>
      <c r="B15" s="4">
        <f t="shared" si="0"/>
        <v>258.14999999999998</v>
      </c>
      <c r="C15" s="5">
        <f t="shared" si="1"/>
        <v>1.3676192276565164</v>
      </c>
      <c r="D15" s="5">
        <f t="shared" si="2"/>
        <v>1.1164238593114419</v>
      </c>
    </row>
    <row r="16" spans="1:10" x14ac:dyDescent="0.25">
      <c r="A16" s="4">
        <v>-13</v>
      </c>
      <c r="B16" s="4">
        <f t="shared" si="0"/>
        <v>260.14999999999998</v>
      </c>
      <c r="C16" s="5">
        <f t="shared" si="1"/>
        <v>1.3571051455680558</v>
      </c>
      <c r="D16" s="5">
        <f t="shared" si="2"/>
        <v>1.1078409351575966</v>
      </c>
    </row>
    <row r="17" spans="1:4" x14ac:dyDescent="0.25">
      <c r="A17" s="4">
        <v>-11</v>
      </c>
      <c r="B17" s="4">
        <f t="shared" si="0"/>
        <v>262.14999999999998</v>
      </c>
      <c r="C17" s="5">
        <f t="shared" si="1"/>
        <v>1.346751491968452</v>
      </c>
      <c r="D17" s="5">
        <f t="shared" si="2"/>
        <v>1.0993889730354709</v>
      </c>
    </row>
    <row r="18" spans="1:4" x14ac:dyDescent="0.25">
      <c r="A18" s="4">
        <v>-9</v>
      </c>
      <c r="B18" s="4">
        <f t="shared" si="0"/>
        <v>264.14999999999998</v>
      </c>
      <c r="C18" s="5">
        <f t="shared" si="1"/>
        <v>1.3365546228261584</v>
      </c>
      <c r="D18" s="5">
        <f t="shared" si="2"/>
        <v>1.0910649982254355</v>
      </c>
    </row>
    <row r="19" spans="1:4" x14ac:dyDescent="0.25">
      <c r="A19" s="4">
        <v>-7</v>
      </c>
      <c r="B19" s="4">
        <f t="shared" si="0"/>
        <v>266.14999999999998</v>
      </c>
      <c r="C19" s="5">
        <f t="shared" si="1"/>
        <v>1.3265110036427943</v>
      </c>
      <c r="D19" s="5">
        <f t="shared" si="2"/>
        <v>1.0828661254226892</v>
      </c>
    </row>
    <row r="20" spans="1:4" x14ac:dyDescent="0.25">
      <c r="A20" s="4">
        <v>-5</v>
      </c>
      <c r="B20" s="4">
        <f t="shared" si="0"/>
        <v>268.14999999999998</v>
      </c>
      <c r="C20" s="5">
        <f t="shared" si="1"/>
        <v>1.3166172053683749</v>
      </c>
      <c r="D20" s="5">
        <f t="shared" si="2"/>
        <v>1.0747895554027549</v>
      </c>
    </row>
    <row r="21" spans="1:4" x14ac:dyDescent="0.25">
      <c r="A21" s="4">
        <v>-3</v>
      </c>
      <c r="B21" s="4">
        <f t="shared" si="0"/>
        <v>270.14999999999998</v>
      </c>
      <c r="C21" s="5">
        <f t="shared" si="1"/>
        <v>1.3068699004979814</v>
      </c>
      <c r="D21" s="5">
        <f t="shared" si="2"/>
        <v>1.0668325718350868</v>
      </c>
    </row>
    <row r="22" spans="1:4" x14ac:dyDescent="0.25">
      <c r="A22" s="4">
        <v>-1</v>
      </c>
      <c r="B22" s="4">
        <f t="shared" si="0"/>
        <v>272.14999999999998</v>
      </c>
      <c r="C22" s="5">
        <f t="shared" si="1"/>
        <v>1.2972658593405464</v>
      </c>
      <c r="D22" s="5">
        <f t="shared" si="2"/>
        <v>1.0589925382371808</v>
      </c>
    </row>
    <row r="23" spans="1:4" x14ac:dyDescent="0.25">
      <c r="A23" s="4">
        <v>1</v>
      </c>
      <c r="B23" s="4">
        <f t="shared" si="0"/>
        <v>274.14999999999998</v>
      </c>
      <c r="C23" s="5">
        <f t="shared" si="1"/>
        <v>1.2878019464509565</v>
      </c>
      <c r="D23" s="5">
        <f t="shared" si="2"/>
        <v>1.0512668950620052</v>
      </c>
    </row>
    <row r="24" spans="1:4" x14ac:dyDescent="0.25">
      <c r="A24" s="4">
        <v>3</v>
      </c>
      <c r="B24" s="4">
        <f t="shared" si="0"/>
        <v>276.14999999999998</v>
      </c>
      <c r="C24" s="5">
        <f t="shared" si="1"/>
        <v>1.2784751172171998</v>
      </c>
      <c r="D24" s="5">
        <f t="shared" si="2"/>
        <v>1.0436531569119998</v>
      </c>
    </row>
    <row r="25" spans="1:4" x14ac:dyDescent="0.25">
      <c r="A25" s="4">
        <v>5</v>
      </c>
      <c r="B25" s="4">
        <f t="shared" si="0"/>
        <v>278.14999999999998</v>
      </c>
      <c r="C25" s="5">
        <f t="shared" si="1"/>
        <v>1.2692824145947501</v>
      </c>
      <c r="D25" s="5">
        <f t="shared" si="2"/>
        <v>1.0361489098732652</v>
      </c>
    </row>
    <row r="26" spans="1:4" x14ac:dyDescent="0.25">
      <c r="A26" s="4">
        <v>7</v>
      </c>
      <c r="B26" s="4">
        <f t="shared" si="0"/>
        <v>280.14999999999998</v>
      </c>
      <c r="C26" s="5">
        <f t="shared" si="1"/>
        <v>1.2602209659808306</v>
      </c>
      <c r="D26" s="5">
        <f t="shared" si="2"/>
        <v>1.0287518089639431</v>
      </c>
    </row>
    <row r="27" spans="1:4" x14ac:dyDescent="0.25">
      <c r="A27" s="4">
        <v>9</v>
      </c>
      <c r="B27" s="4">
        <f t="shared" si="0"/>
        <v>282.14999999999998</v>
      </c>
      <c r="C27" s="5">
        <f t="shared" si="1"/>
        <v>1.2512879802216188</v>
      </c>
      <c r="D27" s="5">
        <f t="shared" si="2"/>
        <v>1.0214595756911173</v>
      </c>
    </row>
    <row r="28" spans="1:4" x14ac:dyDescent="0.25">
      <c r="A28" s="4">
        <v>11</v>
      </c>
      <c r="B28" s="4">
        <f t="shared" si="0"/>
        <v>284.14999999999998</v>
      </c>
      <c r="C28" s="5">
        <f t="shared" si="1"/>
        <v>1.2424807447458373</v>
      </c>
      <c r="D28" s="5">
        <f t="shared" si="2"/>
        <v>1.0142699957108874</v>
      </c>
    </row>
    <row r="29" spans="1:4" x14ac:dyDescent="0.25">
      <c r="A29" s="4">
        <v>13</v>
      </c>
      <c r="B29" s="4">
        <f t="shared" si="0"/>
        <v>286.14999999999998</v>
      </c>
      <c r="C29" s="5">
        <f t="shared" si="1"/>
        <v>1.2337966228185557</v>
      </c>
      <c r="D29" s="5">
        <f t="shared" si="2"/>
        <v>1.0071809165865759</v>
      </c>
    </row>
    <row r="30" spans="1:4" x14ac:dyDescent="0.25">
      <c r="A30" s="4">
        <v>15</v>
      </c>
      <c r="B30" s="4">
        <f t="shared" si="0"/>
        <v>288.14999999999998</v>
      </c>
      <c r="C30" s="5">
        <f t="shared" si="1"/>
        <v>1.2252330509093519</v>
      </c>
      <c r="D30" s="5">
        <f t="shared" si="2"/>
        <v>1.0001902456402871</v>
      </c>
    </row>
    <row r="31" spans="1:4" x14ac:dyDescent="0.25">
      <c r="A31" s="4">
        <v>17</v>
      </c>
      <c r="B31" s="4">
        <f t="shared" si="0"/>
        <v>290.14999999999998</v>
      </c>
      <c r="C31" s="5">
        <f t="shared" si="1"/>
        <v>1.2167875361693252</v>
      </c>
      <c r="D31" s="5">
        <f t="shared" si="2"/>
        <v>0.99329594789332665</v>
      </c>
    </row>
    <row r="32" spans="1:4" x14ac:dyDescent="0.25">
      <c r="A32" s="4">
        <v>19</v>
      </c>
      <c r="B32" s="4">
        <f t="shared" si="0"/>
        <v>292.14999999999998</v>
      </c>
      <c r="C32" s="5">
        <f t="shared" si="1"/>
        <v>1.2084576540117395</v>
      </c>
      <c r="D32" s="5">
        <f t="shared" si="2"/>
        <v>0.98649604409121583</v>
      </c>
    </row>
    <row r="33" spans="1:4" x14ac:dyDescent="0.25">
      <c r="A33" s="4">
        <v>21</v>
      </c>
      <c r="B33" s="4">
        <f t="shared" si="0"/>
        <v>294.14999999999998</v>
      </c>
      <c r="C33" s="5">
        <f t="shared" si="1"/>
        <v>1.2002410457913639</v>
      </c>
      <c r="D33" s="5">
        <f t="shared" si="2"/>
        <v>0.97978860880927665</v>
      </c>
    </row>
    <row r="34" spans="1:4" x14ac:dyDescent="0.25">
      <c r="A34" s="4">
        <v>23</v>
      </c>
      <c r="B34" s="4">
        <f t="shared" si="0"/>
        <v>296.14999999999998</v>
      </c>
      <c r="C34" s="5">
        <f t="shared" si="1"/>
        <v>1.1921354165778482</v>
      </c>
      <c r="D34" s="5">
        <f t="shared" si="2"/>
        <v>0.97317176863497801</v>
      </c>
    </row>
    <row r="35" spans="1:4" x14ac:dyDescent="0.25">
      <c r="A35" s="4">
        <v>25</v>
      </c>
      <c r="B35" s="4">
        <f t="shared" si="0"/>
        <v>298.14999999999998</v>
      </c>
      <c r="C35" s="5">
        <f t="shared" si="1"/>
        <v>1.1841385330187144</v>
      </c>
      <c r="D35" s="5">
        <f t="shared" si="2"/>
        <v>0.96664370042344028</v>
      </c>
    </row>
    <row r="36" spans="1:4" x14ac:dyDescent="0.25">
      <c r="A36" s="4">
        <v>27</v>
      </c>
      <c r="B36" s="4">
        <f t="shared" si="0"/>
        <v>300.14999999999998</v>
      </c>
      <c r="C36" s="5">
        <f t="shared" si="1"/>
        <v>1.1762482212877885</v>
      </c>
      <c r="D36" s="5">
        <f t="shared" si="2"/>
        <v>0.96020262962268443</v>
      </c>
    </row>
    <row r="37" spans="1:4" x14ac:dyDescent="0.25">
      <c r="A37" s="4">
        <v>29</v>
      </c>
      <c r="B37" s="4">
        <f t="shared" si="0"/>
        <v>302.14999999999998</v>
      </c>
      <c r="C37" s="5">
        <f t="shared" si="1"/>
        <v>1.1684623651151076</v>
      </c>
      <c r="D37" s="5">
        <f t="shared" si="2"/>
        <v>0.95384682866539383</v>
      </c>
    </row>
    <row r="38" spans="1:4" x14ac:dyDescent="0.25">
      <c r="A38" s="4">
        <v>31</v>
      </c>
      <c r="B38" s="4">
        <f t="shared" si="0"/>
        <v>304.14999999999998</v>
      </c>
      <c r="C38" s="5">
        <f t="shared" si="1"/>
        <v>1.1607789038945575</v>
      </c>
      <c r="D38" s="5">
        <f t="shared" si="2"/>
        <v>0.94757461542412846</v>
      </c>
    </row>
    <row r="39" spans="1:4" x14ac:dyDescent="0.25">
      <c r="A39" s="4">
        <v>33</v>
      </c>
      <c r="B39" s="4">
        <f t="shared" si="0"/>
        <v>306.14999999999998</v>
      </c>
      <c r="C39" s="5">
        <f t="shared" si="1"/>
        <v>1.1531958308656858</v>
      </c>
      <c r="D39" s="5">
        <f t="shared" si="2"/>
        <v>0.94138435172709034</v>
      </c>
    </row>
    <row r="40" spans="1:4" x14ac:dyDescent="0.25">
      <c r="A40" s="4">
        <v>35</v>
      </c>
      <c r="B40" s="4">
        <f t="shared" si="0"/>
        <v>308.14999999999998</v>
      </c>
      <c r="C40" s="5">
        <f t="shared" si="1"/>
        <v>1.1457111913663141</v>
      </c>
      <c r="D40" s="5">
        <f t="shared" si="2"/>
        <v>0.93527444193168485</v>
      </c>
    </row>
    <row r="41" spans="1:4" x14ac:dyDescent="0.25">
      <c r="A41" s="4">
        <v>37</v>
      </c>
      <c r="B41" s="4">
        <f t="shared" si="0"/>
        <v>310.14999999999998</v>
      </c>
      <c r="C41" s="5">
        <f t="shared" si="1"/>
        <v>1.1383230811527638</v>
      </c>
      <c r="D41" s="5">
        <f t="shared" si="2"/>
        <v>0.92924333155327654</v>
      </c>
    </row>
    <row r="42" spans="1:4" x14ac:dyDescent="0.25">
      <c r="A42" s="4">
        <v>39</v>
      </c>
      <c r="B42" s="4">
        <f t="shared" si="0"/>
        <v>312.14999999999998</v>
      </c>
      <c r="C42" s="5">
        <f t="shared" si="1"/>
        <v>1.1310296447846537</v>
      </c>
      <c r="D42" s="5">
        <f t="shared" si="2"/>
        <v>0.92328950594665604</v>
      </c>
    </row>
    <row r="43" spans="1:4" x14ac:dyDescent="0.25">
      <c r="A43" s="4">
        <v>41</v>
      </c>
      <c r="B43" s="4">
        <f t="shared" si="0"/>
        <v>314.14999999999998</v>
      </c>
      <c r="C43" s="5">
        <f t="shared" si="1"/>
        <v>1.1238290740713981</v>
      </c>
      <c r="D43" s="5">
        <f t="shared" si="2"/>
        <v>0.91741148903787595</v>
      </c>
    </row>
    <row r="44" spans="1:4" x14ac:dyDescent="0.25">
      <c r="A44" s="4">
        <v>43</v>
      </c>
      <c r="B44" s="4">
        <f t="shared" si="0"/>
        <v>316.14999999999998</v>
      </c>
      <c r="C44" s="5">
        <f t="shared" si="1"/>
        <v>1.1167196065776679</v>
      </c>
      <c r="D44" s="5">
        <f t="shared" si="2"/>
        <v>0.91160784210421864</v>
      </c>
    </row>
    <row r="45" spans="1:4" x14ac:dyDescent="0.25">
      <c r="A45" s="4">
        <v>45</v>
      </c>
      <c r="B45" s="4">
        <f t="shared" si="0"/>
        <v>318.14999999999998</v>
      </c>
      <c r="C45" s="5">
        <f t="shared" si="1"/>
        <v>1.1096995241852261</v>
      </c>
      <c r="D45" s="5">
        <f t="shared" si="2"/>
        <v>0.90587716260018447</v>
      </c>
    </row>
    <row r="46" spans="1:4" x14ac:dyDescent="0.25">
      <c r="C46" s="5"/>
    </row>
  </sheetData>
  <mergeCells count="1">
    <mergeCell ref="A1:C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"/>
  <sheetViews>
    <sheetView zoomScaleNormal="100" workbookViewId="0">
      <selection sqref="A1:C9"/>
    </sheetView>
  </sheetViews>
  <sheetFormatPr defaultRowHeight="15" x14ac:dyDescent="0.25"/>
  <cols>
    <col min="1" max="1" width="20.42578125" bestFit="1" customWidth="1"/>
    <col min="2" max="3" width="24.28515625" bestFit="1" customWidth="1"/>
  </cols>
  <sheetData>
    <row r="1" spans="1:4" x14ac:dyDescent="0.25">
      <c r="A1" s="1" t="s">
        <v>0</v>
      </c>
      <c r="B1" s="1"/>
      <c r="C1" s="1"/>
    </row>
    <row r="2" spans="1:4" x14ac:dyDescent="0.25">
      <c r="A2" s="3" t="s">
        <v>10</v>
      </c>
      <c r="B2">
        <v>1.2250000000000001</v>
      </c>
      <c r="C2" t="s">
        <v>1</v>
      </c>
    </row>
    <row r="3" spans="1:4" x14ac:dyDescent="0.25">
      <c r="A3" s="3" t="s">
        <v>11</v>
      </c>
      <c r="B3">
        <v>101325</v>
      </c>
      <c r="C3" t="s">
        <v>3</v>
      </c>
    </row>
    <row r="4" spans="1:4" x14ac:dyDescent="0.25">
      <c r="A4" s="3" t="s">
        <v>4</v>
      </c>
      <c r="B4">
        <v>28.97</v>
      </c>
      <c r="C4" t="s">
        <v>5</v>
      </c>
    </row>
    <row r="5" spans="1:4" x14ac:dyDescent="0.25">
      <c r="A5" s="3" t="s">
        <v>6</v>
      </c>
      <c r="B5">
        <v>8.3143399999999996</v>
      </c>
      <c r="C5" t="s">
        <v>7</v>
      </c>
    </row>
    <row r="6" spans="1:4" x14ac:dyDescent="0.25">
      <c r="A6" s="3" t="s">
        <v>12</v>
      </c>
      <c r="B6">
        <v>1E-3</v>
      </c>
    </row>
    <row r="7" spans="1:4" x14ac:dyDescent="0.25">
      <c r="A7" s="3" t="s">
        <v>2</v>
      </c>
      <c r="B7">
        <v>15</v>
      </c>
      <c r="C7" t="s">
        <v>16</v>
      </c>
    </row>
    <row r="8" spans="1:4" x14ac:dyDescent="0.25">
      <c r="A8" s="3" t="s">
        <v>2</v>
      </c>
      <c r="B8">
        <f>273.15+B7</f>
        <v>288.14999999999998</v>
      </c>
      <c r="C8" t="s">
        <v>12</v>
      </c>
    </row>
    <row r="9" spans="1:4" x14ac:dyDescent="0.25">
      <c r="A9" s="3" t="s">
        <v>19</v>
      </c>
      <c r="B9">
        <v>9.81</v>
      </c>
      <c r="C9" t="s">
        <v>18</v>
      </c>
    </row>
    <row r="10" spans="1:4" x14ac:dyDescent="0.25">
      <c r="A10" s="3"/>
    </row>
    <row r="13" spans="1:4" x14ac:dyDescent="0.25">
      <c r="A13" s="3" t="s">
        <v>17</v>
      </c>
      <c r="B13" s="3" t="s">
        <v>20</v>
      </c>
      <c r="C13" s="3" t="s">
        <v>15</v>
      </c>
      <c r="D13" s="3" t="s">
        <v>9</v>
      </c>
    </row>
    <row r="14" spans="1:4" x14ac:dyDescent="0.25">
      <c r="A14" s="4">
        <v>0</v>
      </c>
      <c r="B14" s="5">
        <f>$B$3*EXP(-($B$9*$B$4*$B$6*A14)/($B$5*$B$8))</f>
        <v>101325</v>
      </c>
      <c r="C14" s="5">
        <f>$B$2*D14</f>
        <v>1.2252330509093519</v>
      </c>
      <c r="D14" s="5">
        <f>((B14*$B$4*$B$6)/($B$5*$B$8))/$B$2</f>
        <v>1.0001902456402871</v>
      </c>
    </row>
    <row r="15" spans="1:4" x14ac:dyDescent="0.25">
      <c r="A15" s="4">
        <v>50</v>
      </c>
      <c r="B15" s="5">
        <f t="shared" ref="B15:B54" si="0">$B$3*EXP(-($B$9*$B$4*$B$6*A15)/($B$5*$B$8))</f>
        <v>100725.80192094711</v>
      </c>
      <c r="C15" s="5">
        <f t="shared" ref="C15:C54" si="1">$B$2*D15</f>
        <v>1.2179874817951448</v>
      </c>
      <c r="D15" s="5">
        <f t="shared" ref="D15:D54" si="2">((B15*$B$4*$B$6)/($B$5*$B$8))/$B$2</f>
        <v>0.99427549534297532</v>
      </c>
    </row>
    <row r="16" spans="1:4" x14ac:dyDescent="0.25">
      <c r="A16" s="4">
        <v>100</v>
      </c>
      <c r="B16" s="5">
        <f t="shared" si="0"/>
        <v>100130.14727478777</v>
      </c>
      <c r="C16" s="5">
        <f t="shared" si="1"/>
        <v>1.210784760261445</v>
      </c>
      <c r="D16" s="5">
        <f t="shared" si="2"/>
        <v>0.98839572266240405</v>
      </c>
    </row>
    <row r="17" spans="1:4" x14ac:dyDescent="0.25">
      <c r="A17" s="4">
        <v>150</v>
      </c>
      <c r="B17" s="5">
        <f t="shared" si="0"/>
        <v>99538.015106987747</v>
      </c>
      <c r="C17" s="5">
        <f t="shared" si="1"/>
        <v>1.2036246329237179</v>
      </c>
      <c r="D17" s="5">
        <f t="shared" si="2"/>
        <v>0.98255072075405536</v>
      </c>
    </row>
    <row r="18" spans="1:4" x14ac:dyDescent="0.25">
      <c r="A18" s="4">
        <v>200</v>
      </c>
      <c r="B18" s="5">
        <f t="shared" si="0"/>
        <v>98949.384586930057</v>
      </c>
      <c r="C18" s="5">
        <f t="shared" si="1"/>
        <v>1.1965068478958509</v>
      </c>
      <c r="D18" s="5">
        <f t="shared" si="2"/>
        <v>0.97674028399661295</v>
      </c>
    </row>
    <row r="19" spans="1:4" x14ac:dyDescent="0.25">
      <c r="A19" s="4">
        <v>250</v>
      </c>
      <c r="B19" s="5">
        <f t="shared" si="0"/>
        <v>98364.235007182171</v>
      </c>
      <c r="C19" s="5">
        <f t="shared" si="1"/>
        <v>1.1894311547812908</v>
      </c>
      <c r="D19" s="5">
        <f t="shared" si="2"/>
        <v>0.97096420798472716</v>
      </c>
    </row>
    <row r="20" spans="1:4" x14ac:dyDescent="0.25">
      <c r="A20" s="4">
        <v>300</v>
      </c>
      <c r="B20" s="5">
        <f t="shared" si="0"/>
        <v>97782.545782767542</v>
      </c>
      <c r="C20" s="5">
        <f t="shared" si="1"/>
        <v>1.1823973046642353</v>
      </c>
      <c r="D20" s="5">
        <f t="shared" si="2"/>
        <v>0.96522228952182465</v>
      </c>
    </row>
    <row r="21" spans="1:4" x14ac:dyDescent="0.25">
      <c r="A21" s="4">
        <v>350</v>
      </c>
      <c r="B21" s="5">
        <f t="shared" si="0"/>
        <v>97204.296450441499</v>
      </c>
      <c r="C21" s="5">
        <f t="shared" si="1"/>
        <v>1.1754050501008784</v>
      </c>
      <c r="D21" s="5">
        <f t="shared" si="2"/>
        <v>0.95951432661296188</v>
      </c>
    </row>
    <row r="22" spans="1:4" x14ac:dyDescent="0.25">
      <c r="A22" s="4">
        <v>400</v>
      </c>
      <c r="B22" s="5">
        <f t="shared" si="0"/>
        <v>96629.466667971283</v>
      </c>
      <c r="C22" s="5">
        <f t="shared" si="1"/>
        <v>1.1684541451107029</v>
      </c>
      <c r="D22" s="5">
        <f t="shared" si="2"/>
        <v>0.95384011845771655</v>
      </c>
    </row>
    <row r="23" spans="1:4" x14ac:dyDescent="0.25">
      <c r="A23" s="4">
        <v>450</v>
      </c>
      <c r="B23" s="5">
        <f t="shared" si="0"/>
        <v>96058.036213420535</v>
      </c>
      <c r="C23" s="5">
        <f t="shared" si="1"/>
        <v>1.1615443451678287</v>
      </c>
      <c r="D23" s="5">
        <f t="shared" si="2"/>
        <v>0.94819946544312539</v>
      </c>
    </row>
    <row r="24" spans="1:4" x14ac:dyDescent="0.25">
      <c r="A24" s="4">
        <v>500</v>
      </c>
      <c r="B24" s="5">
        <f t="shared" si="0"/>
        <v>95489.984984437804</v>
      </c>
      <c r="C24" s="5">
        <f t="shared" si="1"/>
        <v>1.1546754071924097</v>
      </c>
      <c r="D24" s="5">
        <f t="shared" si="2"/>
        <v>0.94259216913666088</v>
      </c>
    </row>
    <row r="25" spans="1:4" x14ac:dyDescent="0.25">
      <c r="A25" s="4">
        <v>550</v>
      </c>
      <c r="B25" s="5">
        <f t="shared" si="0"/>
        <v>94925.292997549419</v>
      </c>
      <c r="C25" s="5">
        <f t="shared" si="1"/>
        <v>1.1478470895420836</v>
      </c>
      <c r="D25" s="5">
        <f t="shared" si="2"/>
        <v>0.93701803227925184</v>
      </c>
    </row>
    <row r="26" spans="1:4" x14ac:dyDescent="0.25">
      <c r="A26" s="4">
        <v>600</v>
      </c>
      <c r="B26" s="5">
        <f t="shared" si="0"/>
        <v>94363.940387456489</v>
      </c>
      <c r="C26" s="5">
        <f t="shared" si="1"/>
        <v>1.1410591520034692</v>
      </c>
      <c r="D26" s="5">
        <f t="shared" si="2"/>
        <v>0.93147685877834208</v>
      </c>
    </row>
    <row r="27" spans="1:4" x14ac:dyDescent="0.25">
      <c r="A27" s="4">
        <v>650</v>
      </c>
      <c r="B27" s="5">
        <f t="shared" si="0"/>
        <v>93805.907406336075</v>
      </c>
      <c r="C27" s="5">
        <f t="shared" si="1"/>
        <v>1.1343113557837188</v>
      </c>
      <c r="D27" s="5">
        <f t="shared" si="2"/>
        <v>0.9259684537009949</v>
      </c>
    </row>
    <row r="28" spans="1:4" x14ac:dyDescent="0.25">
      <c r="A28" s="4">
        <v>700</v>
      </c>
      <c r="B28" s="5">
        <f t="shared" si="0"/>
        <v>93251.174423146425</v>
      </c>
      <c r="C28" s="5">
        <f t="shared" si="1"/>
        <v>1.1276034635021148</v>
      </c>
      <c r="D28" s="5">
        <f t="shared" si="2"/>
        <v>0.92049262326703241</v>
      </c>
    </row>
    <row r="29" spans="1:4" x14ac:dyDescent="0.25">
      <c r="A29" s="4">
        <v>750</v>
      </c>
      <c r="B29" s="5">
        <f t="shared" si="0"/>
        <v>92699.721922936456</v>
      </c>
      <c r="C29" s="5">
        <f t="shared" si="1"/>
        <v>1.1209352391817218</v>
      </c>
      <c r="D29" s="5">
        <f t="shared" si="2"/>
        <v>0.91504917484222181</v>
      </c>
    </row>
    <row r="30" spans="1:4" x14ac:dyDescent="0.25">
      <c r="A30" s="4">
        <v>800</v>
      </c>
      <c r="B30" s="5">
        <f t="shared" si="0"/>
        <v>92151.530506159135</v>
      </c>
      <c r="C30" s="5">
        <f t="shared" si="1"/>
        <v>1.1143064482410812</v>
      </c>
      <c r="D30" s="5">
        <f t="shared" si="2"/>
        <v>0.90963791693149476</v>
      </c>
    </row>
    <row r="31" spans="1:4" x14ac:dyDescent="0.25">
      <c r="A31" s="4">
        <v>850</v>
      </c>
      <c r="B31" s="5">
        <f t="shared" si="0"/>
        <v>91606.580887989141</v>
      </c>
      <c r="C31" s="5">
        <f t="shared" si="1"/>
        <v>1.1077168574859633</v>
      </c>
      <c r="D31" s="5">
        <f t="shared" si="2"/>
        <v>0.90425865917221482</v>
      </c>
    </row>
    <row r="32" spans="1:4" x14ac:dyDescent="0.25">
      <c r="A32" s="4">
        <v>900</v>
      </c>
      <c r="B32" s="5">
        <f t="shared" si="0"/>
        <v>91064.853897644338</v>
      </c>
      <c r="C32" s="5">
        <f t="shared" si="1"/>
        <v>1.1011662351011611</v>
      </c>
      <c r="D32" s="5">
        <f t="shared" si="2"/>
        <v>0.89891121232747839</v>
      </c>
    </row>
    <row r="33" spans="1:4" x14ac:dyDescent="0.25">
      <c r="A33" s="4">
        <v>950</v>
      </c>
      <c r="B33" s="5">
        <f t="shared" si="0"/>
        <v>90526.330477711424</v>
      </c>
      <c r="C33" s="5">
        <f t="shared" si="1"/>
        <v>1.094654350642335</v>
      </c>
      <c r="D33" s="5">
        <f t="shared" si="2"/>
        <v>0.89359538827945706</v>
      </c>
    </row>
    <row r="34" spans="1:4" x14ac:dyDescent="0.25">
      <c r="A34" s="4">
        <v>1000</v>
      </c>
      <c r="B34" s="5">
        <f t="shared" si="0"/>
        <v>89990.991683475528</v>
      </c>
      <c r="C34" s="5">
        <f t="shared" si="1"/>
        <v>1.0881809750279086</v>
      </c>
      <c r="D34" s="5">
        <f t="shared" si="2"/>
        <v>0.8883110000227824</v>
      </c>
    </row>
    <row r="35" spans="1:4" x14ac:dyDescent="0.25">
      <c r="A35" s="4">
        <v>1050</v>
      </c>
      <c r="B35" s="5">
        <f t="shared" si="0"/>
        <v>89458.818682253681</v>
      </c>
      <c r="C35" s="5">
        <f t="shared" si="1"/>
        <v>1.0817458805310061</v>
      </c>
      <c r="D35" s="5">
        <f t="shared" si="2"/>
        <v>0.88305786165796407</v>
      </c>
    </row>
    <row r="36" spans="1:4" x14ac:dyDescent="0.25">
      <c r="A36" s="4">
        <v>1100</v>
      </c>
      <c r="B36" s="5">
        <f t="shared" si="0"/>
        <v>88929.792752732348</v>
      </c>
      <c r="C36" s="5">
        <f t="shared" si="1"/>
        <v>1.0753488407714442</v>
      </c>
      <c r="D36" s="5">
        <f t="shared" si="2"/>
        <v>0.87783578838485232</v>
      </c>
    </row>
    <row r="37" spans="1:4" x14ac:dyDescent="0.25">
      <c r="A37" s="4">
        <v>1150</v>
      </c>
      <c r="B37" s="5">
        <f t="shared" si="0"/>
        <v>88403.895284308863</v>
      </c>
      <c r="C37" s="5">
        <f t="shared" si="1"/>
        <v>1.0689896307077682</v>
      </c>
      <c r="D37" s="5">
        <f t="shared" si="2"/>
        <v>0.87264459649613724</v>
      </c>
    </row>
    <row r="38" spans="1:4" x14ac:dyDescent="0.25">
      <c r="A38" s="4">
        <v>1200</v>
      </c>
      <c r="B38" s="5">
        <f t="shared" si="0"/>
        <v>87881.107776436649</v>
      </c>
      <c r="C38" s="5">
        <f t="shared" si="1"/>
        <v>1.0626680266293316</v>
      </c>
      <c r="D38" s="5">
        <f t="shared" si="2"/>
        <v>0.86748410337088289</v>
      </c>
    </row>
    <row r="39" spans="1:4" x14ac:dyDescent="0.25">
      <c r="A39" s="4">
        <v>1250</v>
      </c>
      <c r="B39" s="5">
        <f t="shared" si="0"/>
        <v>87361.411837974447</v>
      </c>
      <c r="C39" s="5">
        <f t="shared" si="1"/>
        <v>1.056383806148431</v>
      </c>
      <c r="D39" s="5">
        <f t="shared" si="2"/>
        <v>0.8623541274681068</v>
      </c>
    </row>
    <row r="40" spans="1:4" x14ac:dyDescent="0.25">
      <c r="A40" s="4">
        <v>1300</v>
      </c>
      <c r="B40" s="5">
        <f t="shared" si="0"/>
        <v>86844.789186539332</v>
      </c>
      <c r="C40" s="5">
        <f t="shared" si="1"/>
        <v>1.0501367481924802</v>
      </c>
      <c r="D40" s="5">
        <f t="shared" si="2"/>
        <v>0.85725448832039186</v>
      </c>
    </row>
    <row r="41" spans="1:4" x14ac:dyDescent="0.25">
      <c r="A41" s="4">
        <v>1350</v>
      </c>
      <c r="B41" s="5">
        <f t="shared" si="0"/>
        <v>86331.221647863495</v>
      </c>
      <c r="C41" s="5">
        <f t="shared" si="1"/>
        <v>1.0439266329962325</v>
      </c>
      <c r="D41" s="5">
        <f t="shared" si="2"/>
        <v>0.85218500652753659</v>
      </c>
    </row>
    <row r="42" spans="1:4" x14ac:dyDescent="0.25">
      <c r="A42" s="4">
        <v>1400</v>
      </c>
      <c r="B42" s="5">
        <f t="shared" si="0"/>
        <v>85820.691155154986</v>
      </c>
      <c r="C42" s="5">
        <f t="shared" si="1"/>
        <v>1.0377532420940512</v>
      </c>
      <c r="D42" s="5">
        <f t="shared" si="2"/>
        <v>0.84714550375024578</v>
      </c>
    </row>
    <row r="43" spans="1:4" x14ac:dyDescent="0.25">
      <c r="A43" s="4">
        <v>1450</v>
      </c>
      <c r="B43" s="5">
        <f t="shared" si="0"/>
        <v>85313.179748462062</v>
      </c>
      <c r="C43" s="5">
        <f t="shared" si="1"/>
        <v>1.031616358312224</v>
      </c>
      <c r="D43" s="5">
        <f t="shared" si="2"/>
        <v>0.84213580270385624</v>
      </c>
    </row>
    <row r="44" spans="1:4" x14ac:dyDescent="0.25">
      <c r="A44" s="4">
        <v>1500</v>
      </c>
      <c r="B44" s="5">
        <f t="shared" si="0"/>
        <v>84808.6695740414</v>
      </c>
      <c r="C44" s="5">
        <f t="shared" si="1"/>
        <v>1.025515765761321</v>
      </c>
      <c r="D44" s="5">
        <f t="shared" si="2"/>
        <v>0.83715572715209874</v>
      </c>
    </row>
    <row r="45" spans="1:4" x14ac:dyDescent="0.25">
      <c r="A45" s="4">
        <v>1550</v>
      </c>
      <c r="B45" s="5">
        <f t="shared" si="0"/>
        <v>84307.142883730048</v>
      </c>
      <c r="C45" s="5">
        <f t="shared" si="1"/>
        <v>1.0194512498286032</v>
      </c>
      <c r="D45" s="5">
        <f t="shared" si="2"/>
        <v>0.83220510190090058</v>
      </c>
    </row>
    <row r="46" spans="1:4" x14ac:dyDescent="0.25">
      <c r="A46" s="4">
        <v>1600</v>
      </c>
      <c r="B46" s="5">
        <f t="shared" si="0"/>
        <v>83808.582034321022</v>
      </c>
      <c r="C46" s="5">
        <f t="shared" si="1"/>
        <v>1.0134225971704698</v>
      </c>
      <c r="D46" s="5">
        <f t="shared" si="2"/>
        <v>0.82728375279222022</v>
      </c>
    </row>
    <row r="47" spans="1:4" x14ac:dyDescent="0.25">
      <c r="A47" s="4">
        <v>1650</v>
      </c>
      <c r="B47" s="5">
        <f t="shared" si="0"/>
        <v>83312.96948694266</v>
      </c>
      <c r="C47" s="5">
        <f t="shared" si="1"/>
        <v>1.0074295957049542</v>
      </c>
      <c r="D47" s="5">
        <f t="shared" si="2"/>
        <v>0.82239150669792171</v>
      </c>
    </row>
    <row r="48" spans="1:4" x14ac:dyDescent="0.25">
      <c r="A48" s="4">
        <v>1700</v>
      </c>
      <c r="B48" s="5">
        <f t="shared" si="0"/>
        <v>82820.287806441615</v>
      </c>
      <c r="C48" s="5">
        <f t="shared" si="1"/>
        <v>1.001472034604264</v>
      </c>
      <c r="D48" s="5">
        <f t="shared" si="2"/>
        <v>0.81752819151368483</v>
      </c>
    </row>
    <row r="49" spans="1:4" x14ac:dyDescent="0.25">
      <c r="A49" s="4">
        <v>1750</v>
      </c>
      <c r="B49" s="5">
        <f t="shared" si="0"/>
        <v>82330.519660769482</v>
      </c>
      <c r="C49" s="5">
        <f t="shared" si="1"/>
        <v>0.99554970428736222</v>
      </c>
      <c r="D49" s="5">
        <f t="shared" si="2"/>
        <v>0.81269363615294865</v>
      </c>
    </row>
    <row r="50" spans="1:4" x14ac:dyDescent="0.25">
      <c r="A50" s="4">
        <v>1800</v>
      </c>
      <c r="B50" s="5">
        <f t="shared" si="0"/>
        <v>81843.647820373139</v>
      </c>
      <c r="C50" s="5">
        <f t="shared" si="1"/>
        <v>0.98966239641259601</v>
      </c>
      <c r="D50" s="5">
        <f t="shared" si="2"/>
        <v>0.80788767054089461</v>
      </c>
    </row>
    <row r="51" spans="1:4" x14ac:dyDescent="0.25">
      <c r="A51" s="4">
        <v>1850</v>
      </c>
      <c r="B51" s="5">
        <f t="shared" si="0"/>
        <v>81359.655157588524</v>
      </c>
      <c r="C51" s="5">
        <f t="shared" si="1"/>
        <v>0.98380990387036715</v>
      </c>
      <c r="D51" s="5">
        <f t="shared" si="2"/>
        <v>0.80311012560846295</v>
      </c>
    </row>
    <row r="52" spans="1:4" x14ac:dyDescent="0.25">
      <c r="A52" s="4">
        <v>1900</v>
      </c>
      <c r="B52" s="5">
        <f t="shared" si="0"/>
        <v>80878.524646038233</v>
      </c>
      <c r="C52" s="5">
        <f t="shared" si="1"/>
        <v>0.97799202077584624</v>
      </c>
      <c r="D52" s="5">
        <f t="shared" si="2"/>
        <v>0.79836083328640506</v>
      </c>
    </row>
    <row r="53" spans="1:4" x14ac:dyDescent="0.25">
      <c r="A53" s="4">
        <v>1950</v>
      </c>
      <c r="B53" s="5">
        <f t="shared" si="0"/>
        <v>80400.239360032429</v>
      </c>
      <c r="C53" s="5">
        <f t="shared" si="1"/>
        <v>0.97220854246172872</v>
      </c>
      <c r="D53" s="5">
        <f t="shared" si="2"/>
        <v>0.79363962649937037</v>
      </c>
    </row>
    <row r="54" spans="1:4" x14ac:dyDescent="0.25">
      <c r="A54" s="4">
        <v>2000</v>
      </c>
      <c r="B54" s="5">
        <f t="shared" si="0"/>
        <v>79924.782473973464</v>
      </c>
      <c r="C54" s="5">
        <f t="shared" si="1"/>
        <v>0.96645926547103667</v>
      </c>
      <c r="D54" s="5">
        <f t="shared" si="2"/>
        <v>0.78894633916002987</v>
      </c>
    </row>
    <row r="57" spans="1:4" x14ac:dyDescent="0.25">
      <c r="A57" s="3"/>
      <c r="B57" s="3"/>
      <c r="C57" s="3"/>
      <c r="D57" s="3"/>
    </row>
    <row r="58" spans="1:4" x14ac:dyDescent="0.25">
      <c r="A58" s="4"/>
      <c r="B58" s="5"/>
      <c r="C58" s="5"/>
      <c r="D58" s="5"/>
    </row>
  </sheetData>
  <mergeCells count="1">
    <mergeCell ref="A1:C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B12" sqref="B12"/>
    </sheetView>
  </sheetViews>
  <sheetFormatPr defaultRowHeight="15" x14ac:dyDescent="0.25"/>
  <cols>
    <col min="1" max="1" width="32.28515625" customWidth="1"/>
    <col min="2" max="2" width="21" customWidth="1"/>
    <col min="3" max="3" width="18.140625" customWidth="1"/>
  </cols>
  <sheetData>
    <row r="1" spans="1:3" x14ac:dyDescent="0.25">
      <c r="A1" s="8" t="s">
        <v>0</v>
      </c>
      <c r="B1" s="8"/>
      <c r="C1" s="8"/>
    </row>
    <row r="2" spans="1:3" x14ac:dyDescent="0.25">
      <c r="A2" s="3" t="s">
        <v>10</v>
      </c>
      <c r="B2" s="2">
        <v>1.2250000000000001</v>
      </c>
      <c r="C2" s="2" t="s">
        <v>1</v>
      </c>
    </row>
    <row r="3" spans="1:3" x14ac:dyDescent="0.25">
      <c r="A3" s="3" t="s">
        <v>24</v>
      </c>
      <c r="B3" s="2">
        <v>101325</v>
      </c>
      <c r="C3" s="2" t="s">
        <v>3</v>
      </c>
    </row>
    <row r="4" spans="1:3" x14ac:dyDescent="0.25">
      <c r="A4" s="3" t="s">
        <v>4</v>
      </c>
      <c r="B4" s="2">
        <v>28.97</v>
      </c>
      <c r="C4" s="2" t="s">
        <v>5</v>
      </c>
    </row>
    <row r="5" spans="1:3" x14ac:dyDescent="0.25">
      <c r="A5" s="3" t="s">
        <v>6</v>
      </c>
      <c r="B5" s="2">
        <v>8.3143399999999996</v>
      </c>
      <c r="C5" s="2" t="s">
        <v>7</v>
      </c>
    </row>
    <row r="6" spans="1:3" x14ac:dyDescent="0.25">
      <c r="A6" s="3" t="s">
        <v>12</v>
      </c>
      <c r="B6" s="2">
        <v>1E-3</v>
      </c>
      <c r="C6" s="2"/>
    </row>
    <row r="7" spans="1:3" x14ac:dyDescent="0.25">
      <c r="A7" s="3" t="s">
        <v>2</v>
      </c>
      <c r="B7" s="2">
        <v>-9</v>
      </c>
      <c r="C7" s="2" t="s">
        <v>16</v>
      </c>
    </row>
    <row r="8" spans="1:3" x14ac:dyDescent="0.25">
      <c r="A8" s="3" t="s">
        <v>2</v>
      </c>
      <c r="B8" s="2">
        <f>273.15+B7</f>
        <v>264.14999999999998</v>
      </c>
      <c r="C8" s="2" t="s">
        <v>12</v>
      </c>
    </row>
    <row r="9" spans="1:3" x14ac:dyDescent="0.25">
      <c r="A9" s="3" t="s">
        <v>19</v>
      </c>
      <c r="B9" s="2">
        <v>9.81</v>
      </c>
      <c r="C9" s="2" t="s">
        <v>18</v>
      </c>
    </row>
    <row r="10" spans="1:3" x14ac:dyDescent="0.25">
      <c r="A10" s="3" t="s">
        <v>21</v>
      </c>
      <c r="B10" s="2">
        <v>340</v>
      </c>
      <c r="C10" s="2" t="s">
        <v>22</v>
      </c>
    </row>
    <row r="11" spans="1:3" ht="30" x14ac:dyDescent="0.25">
      <c r="A11" s="7" t="s">
        <v>23</v>
      </c>
      <c r="B11" s="10">
        <f>B3*EXP(-(B9*B4*B6*B10)/(B5*B8))</f>
        <v>96963.700140627654</v>
      </c>
      <c r="C11" s="2" t="s">
        <v>3</v>
      </c>
    </row>
    <row r="12" spans="1:3" ht="45" x14ac:dyDescent="0.25">
      <c r="A12" s="7" t="s">
        <v>25</v>
      </c>
      <c r="B12" s="9">
        <f>(B11*B4*B6)/(B5*B8)</f>
        <v>1.279025725825663</v>
      </c>
      <c r="C12" s="2" t="s">
        <v>1</v>
      </c>
    </row>
    <row r="13" spans="1:3" x14ac:dyDescent="0.25">
      <c r="A13" s="3"/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abSelected="1" workbookViewId="0">
      <selection activeCell="B20" sqref="B20"/>
    </sheetView>
  </sheetViews>
  <sheetFormatPr defaultRowHeight="15" x14ac:dyDescent="0.25"/>
  <cols>
    <col min="1" max="1" width="18.5703125" customWidth="1"/>
    <col min="5" max="5" width="17.5703125" bestFit="1" customWidth="1"/>
  </cols>
  <sheetData>
    <row r="1" spans="1:11" x14ac:dyDescent="0.25">
      <c r="A1" s="12" t="s">
        <v>0</v>
      </c>
      <c r="B1" s="12"/>
      <c r="C1" s="12"/>
      <c r="E1" s="11" t="s">
        <v>30</v>
      </c>
      <c r="F1" s="11">
        <v>25</v>
      </c>
      <c r="G1" s="11">
        <v>20</v>
      </c>
      <c r="H1" s="11">
        <v>15</v>
      </c>
      <c r="I1" s="11">
        <v>10</v>
      </c>
      <c r="J1" s="11">
        <v>5</v>
      </c>
      <c r="K1" s="11">
        <v>0</v>
      </c>
    </row>
    <row r="2" spans="1:11" x14ac:dyDescent="0.25">
      <c r="A2" s="13" t="s">
        <v>26</v>
      </c>
      <c r="B2" s="14">
        <v>0.14285714285714199</v>
      </c>
      <c r="C2" s="13"/>
      <c r="E2" s="11" t="s">
        <v>31</v>
      </c>
      <c r="F2" s="11">
        <v>90</v>
      </c>
      <c r="G2" s="11">
        <v>600</v>
      </c>
      <c r="H2" s="11">
        <v>1600</v>
      </c>
      <c r="I2" s="11">
        <v>2200</v>
      </c>
      <c r="J2" s="11">
        <v>2700</v>
      </c>
      <c r="K2" s="11">
        <f>8760-SUM(F2:J2)</f>
        <v>1570</v>
      </c>
    </row>
    <row r="3" spans="1:11" ht="17.25" x14ac:dyDescent="0.25">
      <c r="A3" s="13" t="s">
        <v>27</v>
      </c>
      <c r="B3" s="13">
        <v>0.4</v>
      </c>
      <c r="C3" s="13"/>
      <c r="E3" s="11" t="s">
        <v>45</v>
      </c>
      <c r="F3" s="11">
        <f>F1^3*F2</f>
        <v>1406250</v>
      </c>
      <c r="G3" s="11">
        <f t="shared" ref="G3:K3" si="0">G1^3*G2</f>
        <v>4800000</v>
      </c>
      <c r="H3" s="11">
        <f t="shared" si="0"/>
        <v>5400000</v>
      </c>
      <c r="I3" s="11">
        <f t="shared" si="0"/>
        <v>2200000</v>
      </c>
      <c r="J3" s="11">
        <f t="shared" si="0"/>
        <v>337500</v>
      </c>
      <c r="K3" s="11">
        <f t="shared" si="0"/>
        <v>0</v>
      </c>
    </row>
    <row r="4" spans="1:11" ht="17.25" x14ac:dyDescent="0.25">
      <c r="A4" s="13" t="s">
        <v>28</v>
      </c>
      <c r="B4" s="13">
        <v>300</v>
      </c>
      <c r="C4" s="13" t="s">
        <v>41</v>
      </c>
    </row>
    <row r="5" spans="1:11" ht="17.25" x14ac:dyDescent="0.25">
      <c r="A5" s="13" t="s">
        <v>29</v>
      </c>
      <c r="B5" s="13">
        <v>100</v>
      </c>
      <c r="C5" s="13" t="s">
        <v>43</v>
      </c>
    </row>
    <row r="6" spans="1:11" ht="17.25" x14ac:dyDescent="0.25">
      <c r="A6" s="15" t="s">
        <v>10</v>
      </c>
      <c r="B6" s="15">
        <v>1.2250000000000001</v>
      </c>
      <c r="C6" s="13" t="s">
        <v>42</v>
      </c>
    </row>
    <row r="7" spans="1:11" x14ac:dyDescent="0.25">
      <c r="A7" s="15" t="s">
        <v>32</v>
      </c>
      <c r="B7" s="15">
        <v>8760</v>
      </c>
      <c r="C7" s="13" t="s">
        <v>33</v>
      </c>
    </row>
    <row r="8" spans="1:11" x14ac:dyDescent="0.25">
      <c r="A8" s="15" t="s">
        <v>34</v>
      </c>
      <c r="B8" s="15">
        <v>10</v>
      </c>
      <c r="C8" s="13" t="s">
        <v>22</v>
      </c>
    </row>
    <row r="9" spans="1:11" x14ac:dyDescent="0.25">
      <c r="A9" s="15" t="s">
        <v>35</v>
      </c>
      <c r="B9" s="15">
        <v>22.50000001701757</v>
      </c>
      <c r="C9" s="13" t="s">
        <v>22</v>
      </c>
    </row>
    <row r="10" spans="1:11" ht="30" x14ac:dyDescent="0.25">
      <c r="A10" s="16" t="s">
        <v>36</v>
      </c>
      <c r="B10" s="13">
        <v>17.85822657108859</v>
      </c>
      <c r="C10" s="13" t="s">
        <v>44</v>
      </c>
    </row>
    <row r="13" spans="1:11" x14ac:dyDescent="0.25">
      <c r="A13" s="1" t="s">
        <v>37</v>
      </c>
      <c r="B13" s="1"/>
      <c r="C13" s="1"/>
    </row>
    <row r="14" spans="1:11" ht="18" x14ac:dyDescent="0.35">
      <c r="A14" t="s">
        <v>40</v>
      </c>
      <c r="B14" s="4">
        <f>(SUM(F3:K3)/$B$7)^(1/3)</f>
        <v>11.731498471974691</v>
      </c>
      <c r="C14" t="s">
        <v>38</v>
      </c>
    </row>
    <row r="15" spans="1:11" ht="18" x14ac:dyDescent="0.35">
      <c r="A15" t="s">
        <v>39</v>
      </c>
      <c r="B15" s="4">
        <f>B14*(B9/B8)^B2</f>
        <v>13.172411115296695</v>
      </c>
      <c r="C15" t="s">
        <v>38</v>
      </c>
    </row>
    <row r="16" spans="1:11" ht="18" x14ac:dyDescent="0.35">
      <c r="A16" t="s">
        <v>46</v>
      </c>
      <c r="B16">
        <f>300*B10</f>
        <v>5357.4679713265768</v>
      </c>
      <c r="C16" t="s">
        <v>47</v>
      </c>
    </row>
    <row r="17" spans="1:3" ht="18" x14ac:dyDescent="0.35">
      <c r="A17" t="s">
        <v>48</v>
      </c>
      <c r="B17">
        <f>0.1*B9*100*B10</f>
        <v>4018.1009815339689</v>
      </c>
      <c r="C17" t="s">
        <v>47</v>
      </c>
    </row>
    <row r="18" spans="1:3" x14ac:dyDescent="0.25">
      <c r="A18" t="s">
        <v>49</v>
      </c>
      <c r="B18">
        <f>B16+B17</f>
        <v>9375.5689528605453</v>
      </c>
      <c r="C18" t="s">
        <v>47</v>
      </c>
    </row>
    <row r="19" spans="1:3" x14ac:dyDescent="0.25">
      <c r="A19" t="s">
        <v>50</v>
      </c>
      <c r="B19">
        <f>0.5*B6*B10*B15^3</f>
        <v>25000.013999158258</v>
      </c>
      <c r="C19" t="s">
        <v>51</v>
      </c>
    </row>
    <row r="20" spans="1:3" x14ac:dyDescent="0.25">
      <c r="A20" t="s">
        <v>52</v>
      </c>
      <c r="B20" s="4">
        <f>B3*B19</f>
        <v>10000.005599663304</v>
      </c>
      <c r="C20" t="s">
        <v>51</v>
      </c>
    </row>
    <row r="21" spans="1:3" x14ac:dyDescent="0.25">
      <c r="A21" t="s">
        <v>53</v>
      </c>
      <c r="B21" s="6">
        <f>B18/B20</f>
        <v>0.93755637028605432</v>
      </c>
      <c r="C21" t="s">
        <v>54</v>
      </c>
    </row>
    <row r="22" spans="1:3" x14ac:dyDescent="0.25">
      <c r="A22" t="s">
        <v>55</v>
      </c>
      <c r="B22">
        <f>B20*(F1/B14)^3</f>
        <v>96774.247738677193</v>
      </c>
      <c r="C22" t="s">
        <v>51</v>
      </c>
    </row>
  </sheetData>
  <mergeCells count="2">
    <mergeCell ref="A1:C1"/>
    <mergeCell ref="A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Zadatak 1 a</vt:lpstr>
      <vt:lpstr>Zadatak 1 b</vt:lpstr>
      <vt:lpstr>Zadatak 1 c</vt:lpstr>
      <vt:lpstr>Zadatak 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Nenad Kajkut</dc:creator>
  <cp:lastModifiedBy>user</cp:lastModifiedBy>
  <dcterms:created xsi:type="dcterms:W3CDTF">2021-06-19T14:16:53Z</dcterms:created>
  <dcterms:modified xsi:type="dcterms:W3CDTF">2021-06-19T16:36:35Z</dcterms:modified>
</cp:coreProperties>
</file>