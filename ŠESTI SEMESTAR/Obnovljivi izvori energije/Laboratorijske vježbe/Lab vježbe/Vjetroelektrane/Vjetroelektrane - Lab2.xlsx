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7235" windowHeight="6225" activeTab="1"/>
  </bookViews>
  <sheets>
    <sheet name="Zadatak 1" sheetId="1" r:id="rId1"/>
    <sheet name="Zadatak 2" sheetId="2" r:id="rId2"/>
  </sheets>
  <calcPr calcId="144525"/>
</workbook>
</file>

<file path=xl/calcChain.xml><?xml version="1.0" encoding="utf-8"?>
<calcChain xmlns="http://schemas.openxmlformats.org/spreadsheetml/2006/main">
  <c r="G7" i="2" l="1"/>
  <c r="B16" i="2" s="1"/>
  <c r="B9" i="2"/>
  <c r="B7" i="2"/>
  <c r="B6" i="2"/>
  <c r="I8" i="1"/>
  <c r="I5" i="1"/>
  <c r="I3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  <c r="I6" i="1"/>
  <c r="I4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" i="1"/>
  <c r="B43" i="2" l="1"/>
  <c r="B39" i="2"/>
  <c r="B35" i="2"/>
  <c r="B31" i="2"/>
  <c r="B27" i="2"/>
  <c r="B23" i="2"/>
  <c r="B19" i="2"/>
  <c r="G10" i="2"/>
  <c r="B15" i="2"/>
  <c r="B42" i="2"/>
  <c r="B38" i="2"/>
  <c r="B34" i="2"/>
  <c r="B30" i="2"/>
  <c r="B26" i="2"/>
  <c r="B22" i="2"/>
  <c r="B18" i="2"/>
  <c r="B45" i="2"/>
  <c r="B41" i="2"/>
  <c r="B37" i="2"/>
  <c r="B33" i="2"/>
  <c r="B29" i="2"/>
  <c r="B25" i="2"/>
  <c r="B21" i="2"/>
  <c r="B17" i="2"/>
  <c r="G9" i="2"/>
  <c r="B44" i="2"/>
  <c r="B40" i="2"/>
  <c r="B36" i="2"/>
  <c r="B32" i="2"/>
  <c r="B28" i="2"/>
  <c r="B24" i="2"/>
  <c r="B20" i="2"/>
  <c r="G12" i="2" l="1"/>
  <c r="G13" i="2" s="1"/>
</calcChain>
</file>

<file path=xl/sharedStrings.xml><?xml version="1.0" encoding="utf-8"?>
<sst xmlns="http://schemas.openxmlformats.org/spreadsheetml/2006/main" count="42" uniqueCount="31">
  <si>
    <t>Gustina vazduha</t>
  </si>
  <si>
    <r>
      <t>kg/m</t>
    </r>
    <r>
      <rPr>
        <vertAlign val="superscript"/>
        <sz val="11"/>
        <color theme="1"/>
        <rFont val="Calibri"/>
        <family val="2"/>
        <scheme val="minor"/>
      </rPr>
      <t>3</t>
    </r>
  </si>
  <si>
    <t>vsr</t>
  </si>
  <si>
    <r>
      <t>v</t>
    </r>
    <r>
      <rPr>
        <vertAlign val="subscript"/>
        <sz val="11"/>
        <color theme="1"/>
        <rFont val="Calibri"/>
        <family val="2"/>
        <scheme val="minor"/>
      </rPr>
      <t>sr</t>
    </r>
  </si>
  <si>
    <r>
      <t>P</t>
    </r>
    <r>
      <rPr>
        <vertAlign val="subscript"/>
        <sz val="11"/>
        <color theme="1"/>
        <rFont val="Calibri"/>
        <family val="2"/>
        <scheme val="minor"/>
      </rPr>
      <t>sr, spec</t>
    </r>
  </si>
  <si>
    <r>
      <t>W/m</t>
    </r>
    <r>
      <rPr>
        <vertAlign val="superscript"/>
        <sz val="11"/>
        <color theme="1"/>
        <rFont val="Calibri"/>
        <family val="2"/>
        <scheme val="minor"/>
      </rPr>
      <t>2</t>
    </r>
  </si>
  <si>
    <t>m/s</t>
  </si>
  <si>
    <t>v(m/s)</t>
  </si>
  <si>
    <t>Proračun</t>
  </si>
  <si>
    <t>v*t</t>
  </si>
  <si>
    <t>T</t>
  </si>
  <si>
    <t>h</t>
  </si>
  <si>
    <r>
      <t>v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charset val="238"/>
        <scheme val="minor"/>
      </rPr>
      <t>*t</t>
    </r>
  </si>
  <si>
    <r>
      <t>v</t>
    </r>
    <r>
      <rPr>
        <vertAlign val="subscript"/>
        <sz val="11"/>
        <color theme="1"/>
        <rFont val="Calibri"/>
        <family val="2"/>
        <scheme val="minor"/>
      </rPr>
      <t>eff</t>
    </r>
  </si>
  <si>
    <t>t [h/god]</t>
  </si>
  <si>
    <r>
      <t>v</t>
    </r>
    <r>
      <rPr>
        <vertAlign val="superscript"/>
        <sz val="11"/>
        <color theme="1"/>
        <rFont val="Calibri"/>
        <family val="2"/>
        <scheme val="minor"/>
      </rPr>
      <t>3</t>
    </r>
  </si>
  <si>
    <t xml:space="preserve"> </t>
  </si>
  <si>
    <t>Pogrešna snaga vjetra</t>
  </si>
  <si>
    <t>k</t>
  </si>
  <si>
    <t>vx</t>
  </si>
  <si>
    <r>
      <t>v</t>
    </r>
    <r>
      <rPr>
        <vertAlign val="subscript"/>
        <sz val="11"/>
        <color theme="1"/>
        <rFont val="Calibri"/>
        <family val="2"/>
        <scheme val="minor"/>
      </rPr>
      <t>x</t>
    </r>
  </si>
  <si>
    <t>c</t>
  </si>
  <si>
    <t>P(v &lt; vx)</t>
  </si>
  <si>
    <t>P(v = vx)</t>
  </si>
  <si>
    <t>v1</t>
  </si>
  <si>
    <t>v2</t>
  </si>
  <si>
    <t>P1 (v &lt; v1)</t>
  </si>
  <si>
    <t>P2 (v &lt; v2)</t>
  </si>
  <si>
    <t>P (v1 &lt; v &lt; v2)</t>
  </si>
  <si>
    <t>T (v1 &lt; v &lt; v2)</t>
  </si>
  <si>
    <t>f(vx)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</si>
</sst>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3" x14ac:knownFonts="1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r-Latn-BA"/>
              <a:t>Raspodjela brzine vjetra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'Zadatak 1'!$B$1</c:f>
              <c:strCache>
                <c:ptCount val="1"/>
                <c:pt idx="0">
                  <c:v>t [h/god]</c:v>
                </c:pt>
              </c:strCache>
            </c:strRef>
          </c:tx>
          <c:invertIfNegative val="0"/>
          <c:val>
            <c:numRef>
              <c:f>'Zadatak 1'!$B$2:$B$27</c:f>
              <c:numCache>
                <c:formatCode>General</c:formatCode>
                <c:ptCount val="26"/>
                <c:pt idx="0">
                  <c:v>27</c:v>
                </c:pt>
                <c:pt idx="1">
                  <c:v>276</c:v>
                </c:pt>
                <c:pt idx="2">
                  <c:v>527</c:v>
                </c:pt>
                <c:pt idx="3">
                  <c:v>729</c:v>
                </c:pt>
                <c:pt idx="4">
                  <c:v>869</c:v>
                </c:pt>
                <c:pt idx="5">
                  <c:v>941</c:v>
                </c:pt>
                <c:pt idx="6">
                  <c:v>946</c:v>
                </c:pt>
                <c:pt idx="7">
                  <c:v>896</c:v>
                </c:pt>
                <c:pt idx="8">
                  <c:v>805</c:v>
                </c:pt>
                <c:pt idx="9">
                  <c:v>690</c:v>
                </c:pt>
                <c:pt idx="10">
                  <c:v>565</c:v>
                </c:pt>
                <c:pt idx="11">
                  <c:v>444</c:v>
                </c:pt>
                <c:pt idx="12">
                  <c:v>335</c:v>
                </c:pt>
                <c:pt idx="13">
                  <c:v>243</c:v>
                </c:pt>
                <c:pt idx="14">
                  <c:v>170</c:v>
                </c:pt>
                <c:pt idx="15">
                  <c:v>114</c:v>
                </c:pt>
                <c:pt idx="16">
                  <c:v>74</c:v>
                </c:pt>
                <c:pt idx="17">
                  <c:v>46</c:v>
                </c:pt>
                <c:pt idx="18">
                  <c:v>28</c:v>
                </c:pt>
                <c:pt idx="19">
                  <c:v>16</c:v>
                </c:pt>
                <c:pt idx="20">
                  <c:v>9</c:v>
                </c:pt>
                <c:pt idx="21">
                  <c:v>5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76800"/>
        <c:axId val="47278336"/>
      </c:barChart>
      <c:catAx>
        <c:axId val="4727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r-Latn-BA"/>
                  <a:t>v</a:t>
                </a:r>
                <a:r>
                  <a:rPr lang="sr-Latn-BA" baseline="0"/>
                  <a:t> [m/s]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crossAx val="47278336"/>
        <c:crosses val="autoZero"/>
        <c:auto val="1"/>
        <c:lblAlgn val="ctr"/>
        <c:lblOffset val="100"/>
        <c:noMultiLvlLbl val="0"/>
      </c:catAx>
      <c:valAx>
        <c:axId val="472783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sr-Latn-BA"/>
                  <a:t>t</a:t>
                </a:r>
                <a:r>
                  <a:rPr lang="sr-Latn-BA" baseline="0"/>
                  <a:t> [h/god]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7276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'Zadatak 2'!$B$14</c:f>
              <c:strCache>
                <c:ptCount val="1"/>
                <c:pt idx="0">
                  <c:v>f(vx)</c:v>
                </c:pt>
              </c:strCache>
            </c:strRef>
          </c:tx>
          <c:marker>
            <c:symbol val="none"/>
          </c:marker>
          <c:xVal>
            <c:numRef>
              <c:f>'Zadatak 2'!$A$15:$A$45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'Zadatak 2'!$B$15:$B$45</c:f>
              <c:numCache>
                <c:formatCode>General</c:formatCode>
                <c:ptCount val="31"/>
                <c:pt idx="0">
                  <c:v>0</c:v>
                </c:pt>
                <c:pt idx="1">
                  <c:v>2.424433676410085E-2</c:v>
                </c:pt>
                <c:pt idx="2">
                  <c:v>4.6735997691902488E-2</c:v>
                </c:pt>
                <c:pt idx="3">
                  <c:v>6.5931780116035982E-2</c:v>
                </c:pt>
                <c:pt idx="4">
                  <c:v>8.0672659107206543E-2</c:v>
                </c:pt>
                <c:pt idx="5">
                  <c:v>9.0296315414914105E-2</c:v>
                </c:pt>
                <c:pt idx="6">
                  <c:v>9.467291049288995E-2</c:v>
                </c:pt>
                <c:pt idx="7">
                  <c:v>9.4164625079912856E-2</c:v>
                </c:pt>
                <c:pt idx="8">
                  <c:v>8.9523242042571102E-2</c:v>
                </c:pt>
                <c:pt idx="9">
                  <c:v>8.1749519141446278E-2</c:v>
                </c:pt>
                <c:pt idx="10">
                  <c:v>7.1941649267143318E-2</c:v>
                </c:pt>
                <c:pt idx="11">
                  <c:v>6.1157760971925712E-2</c:v>
                </c:pt>
                <c:pt idx="12">
                  <c:v>5.0310594594886592E-2</c:v>
                </c:pt>
                <c:pt idx="13">
                  <c:v>4.0103444691411187E-2</c:v>
                </c:pt>
                <c:pt idx="14">
                  <c:v>3.1007538586226631E-2</c:v>
                </c:pt>
                <c:pt idx="15">
                  <c:v>2.3274065775537773E-2</c:v>
                </c:pt>
                <c:pt idx="16">
                  <c:v>1.6970066018787085E-2</c:v>
                </c:pt>
                <c:pt idx="17">
                  <c:v>1.2026405171894856E-2</c:v>
                </c:pt>
                <c:pt idx="18">
                  <c:v>8.2875008378374641E-3</c:v>
                </c:pt>
                <c:pt idx="19">
                  <c:v>5.5553274300877403E-3</c:v>
                </c:pt>
                <c:pt idx="20">
                  <c:v>3.6235298710420149E-3</c:v>
                </c:pt>
                <c:pt idx="21">
                  <c:v>2.3004232298264151E-3</c:v>
                </c:pt>
                <c:pt idx="22">
                  <c:v>1.4218000981948964E-3</c:v>
                </c:pt>
                <c:pt idx="23">
                  <c:v>8.5568104993510527E-4</c:v>
                </c:pt>
                <c:pt idx="24">
                  <c:v>5.0153858301400377E-4</c:v>
                </c:pt>
                <c:pt idx="25">
                  <c:v>2.8634061546039294E-4</c:v>
                </c:pt>
                <c:pt idx="26">
                  <c:v>1.5926008443978445E-4</c:v>
                </c:pt>
                <c:pt idx="27">
                  <c:v>8.630358090810366E-5</c:v>
                </c:pt>
                <c:pt idx="28">
                  <c:v>4.557171269745658E-5</c:v>
                </c:pt>
                <c:pt idx="29">
                  <c:v>2.345029955440929E-5</c:v>
                </c:pt>
                <c:pt idx="30">
                  <c:v>1.1760493298941139E-5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867776"/>
        <c:axId val="281866240"/>
      </c:scatterChart>
      <c:valAx>
        <c:axId val="28186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1866240"/>
        <c:crosses val="autoZero"/>
        <c:crossBetween val="midCat"/>
      </c:valAx>
      <c:valAx>
        <c:axId val="281866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18677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11</xdr:row>
      <xdr:rowOff>128587</xdr:rowOff>
    </xdr:from>
    <xdr:to>
      <xdr:col>12</xdr:col>
      <xdr:colOff>523875</xdr:colOff>
      <xdr:row>26</xdr:row>
      <xdr:rowOff>14287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15</xdr:row>
      <xdr:rowOff>52387</xdr:rowOff>
    </xdr:from>
    <xdr:to>
      <xdr:col>10</xdr:col>
      <xdr:colOff>76200</xdr:colOff>
      <xdr:row>29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F11" sqref="F11"/>
    </sheetView>
  </sheetViews>
  <sheetFormatPr defaultRowHeight="15" x14ac:dyDescent="0.25"/>
  <cols>
    <col min="1" max="1" width="6.85546875" bestFit="1" customWidth="1"/>
    <col min="2" max="2" width="8.85546875" bestFit="1" customWidth="1"/>
    <col min="3" max="3" width="5" bestFit="1" customWidth="1"/>
    <col min="8" max="8" width="20.42578125" bestFit="1" customWidth="1"/>
  </cols>
  <sheetData>
    <row r="1" spans="1:10" ht="17.25" x14ac:dyDescent="0.25">
      <c r="A1" s="1" t="s">
        <v>7</v>
      </c>
      <c r="B1" s="1" t="s">
        <v>14</v>
      </c>
      <c r="C1" s="1" t="s">
        <v>9</v>
      </c>
      <c r="D1" s="1" t="s">
        <v>15</v>
      </c>
      <c r="E1" s="1" t="s">
        <v>12</v>
      </c>
      <c r="F1" s="1"/>
      <c r="G1" s="1"/>
      <c r="H1" s="5" t="s">
        <v>8</v>
      </c>
      <c r="I1" s="5"/>
      <c r="J1" s="5"/>
    </row>
    <row r="2" spans="1:10" ht="17.25" x14ac:dyDescent="0.25">
      <c r="A2" s="1">
        <v>0</v>
      </c>
      <c r="B2" s="1">
        <v>27</v>
      </c>
      <c r="C2" s="1">
        <f>A2*B2</f>
        <v>0</v>
      </c>
      <c r="D2">
        <f>A2^3</f>
        <v>0</v>
      </c>
      <c r="E2" s="1">
        <f>A2^3*B2</f>
        <v>0</v>
      </c>
      <c r="F2" s="1"/>
      <c r="G2" s="1"/>
      <c r="H2" s="6" t="s">
        <v>0</v>
      </c>
      <c r="I2" s="6">
        <v>1.2250000000000001</v>
      </c>
      <c r="J2" s="6" t="s">
        <v>1</v>
      </c>
    </row>
    <row r="3" spans="1:10" ht="18" x14ac:dyDescent="0.25">
      <c r="A3" s="1">
        <v>1</v>
      </c>
      <c r="B3" s="1">
        <v>276</v>
      </c>
      <c r="C3" s="1">
        <f t="shared" ref="C3:C27" si="0">A3*B3</f>
        <v>276</v>
      </c>
      <c r="D3">
        <f t="shared" ref="D3:D27" si="1">A3^3</f>
        <v>1</v>
      </c>
      <c r="E3" s="1">
        <f>A3^3*B3</f>
        <v>276</v>
      </c>
      <c r="F3" s="1"/>
      <c r="G3" s="1"/>
      <c r="H3" s="6" t="s">
        <v>3</v>
      </c>
      <c r="I3" s="7">
        <f>SUM(C2:C27)/I5</f>
        <v>6.9944063926940636</v>
      </c>
      <c r="J3" s="6" t="s">
        <v>6</v>
      </c>
    </row>
    <row r="4" spans="1:10" ht="18" x14ac:dyDescent="0.25">
      <c r="A4" s="1">
        <v>2</v>
      </c>
      <c r="B4" s="1">
        <v>527</v>
      </c>
      <c r="C4" s="1">
        <f t="shared" si="0"/>
        <v>1054</v>
      </c>
      <c r="D4">
        <f t="shared" si="1"/>
        <v>8</v>
      </c>
      <c r="E4" s="1">
        <f>A4^3*B4</f>
        <v>4216</v>
      </c>
      <c r="F4" s="1"/>
      <c r="G4" s="1"/>
      <c r="H4" s="6" t="s">
        <v>4</v>
      </c>
      <c r="I4" s="7">
        <f>0.5*I2*I6^3</f>
        <v>400.12310644977129</v>
      </c>
      <c r="J4" s="6" t="s">
        <v>5</v>
      </c>
    </row>
    <row r="5" spans="1:10" x14ac:dyDescent="0.25">
      <c r="A5" s="1">
        <v>3</v>
      </c>
      <c r="B5" s="1">
        <v>729</v>
      </c>
      <c r="C5" s="1">
        <f t="shared" si="0"/>
        <v>2187</v>
      </c>
      <c r="D5">
        <f t="shared" si="1"/>
        <v>27</v>
      </c>
      <c r="E5" s="1">
        <f>A5^3*B5</f>
        <v>19683</v>
      </c>
      <c r="F5" s="1"/>
      <c r="G5" s="1"/>
      <c r="H5" s="6" t="s">
        <v>10</v>
      </c>
      <c r="I5" s="6">
        <f>SUM(B2:B27)</f>
        <v>8760</v>
      </c>
      <c r="J5" s="6" t="s">
        <v>11</v>
      </c>
    </row>
    <row r="6" spans="1:10" ht="18" x14ac:dyDescent="0.25">
      <c r="A6" s="1">
        <v>4</v>
      </c>
      <c r="B6" s="1">
        <v>869</v>
      </c>
      <c r="C6" s="1">
        <f t="shared" si="0"/>
        <v>3476</v>
      </c>
      <c r="D6">
        <f t="shared" si="1"/>
        <v>64</v>
      </c>
      <c r="E6" s="1">
        <f>A6^3*B6</f>
        <v>55616</v>
      </c>
      <c r="F6" s="1"/>
      <c r="G6" s="1"/>
      <c r="H6" s="6" t="s">
        <v>13</v>
      </c>
      <c r="I6" s="7">
        <f>(SUM(E2:E27)/I5)^(1/3)</f>
        <v>8.6768584561785804</v>
      </c>
      <c r="J6" s="6" t="s">
        <v>6</v>
      </c>
    </row>
    <row r="7" spans="1:10" x14ac:dyDescent="0.25">
      <c r="A7" s="1">
        <v>5</v>
      </c>
      <c r="B7" s="1">
        <v>941</v>
      </c>
      <c r="C7" s="1">
        <f t="shared" si="0"/>
        <v>4705</v>
      </c>
      <c r="D7">
        <f t="shared" si="1"/>
        <v>125</v>
      </c>
      <c r="E7" s="1">
        <f>A7^3*B7</f>
        <v>117625</v>
      </c>
      <c r="F7" s="1"/>
      <c r="G7" s="1"/>
      <c r="H7" s="1"/>
      <c r="I7" s="1"/>
      <c r="J7" s="1"/>
    </row>
    <row r="8" spans="1:10" ht="17.25" x14ac:dyDescent="0.25">
      <c r="A8" s="1">
        <v>6</v>
      </c>
      <c r="B8" s="1">
        <v>946</v>
      </c>
      <c r="C8" s="1">
        <f t="shared" si="0"/>
        <v>5676</v>
      </c>
      <c r="D8">
        <f t="shared" si="1"/>
        <v>216</v>
      </c>
      <c r="E8" s="1">
        <f>A8^3*B8</f>
        <v>204336</v>
      </c>
      <c r="F8" s="1"/>
      <c r="G8" s="1"/>
      <c r="H8" s="3" t="s">
        <v>17</v>
      </c>
      <c r="I8" s="4">
        <f>0.5*I2*I3^3</f>
        <v>209.58426792258905</v>
      </c>
      <c r="J8" s="3" t="s">
        <v>5</v>
      </c>
    </row>
    <row r="9" spans="1:10" x14ac:dyDescent="0.25">
      <c r="A9" s="1">
        <v>7</v>
      </c>
      <c r="B9" s="1">
        <v>896</v>
      </c>
      <c r="C9" s="1">
        <f t="shared" si="0"/>
        <v>6272</v>
      </c>
      <c r="D9">
        <f t="shared" si="1"/>
        <v>343</v>
      </c>
      <c r="E9" s="1">
        <f>A9^3*B9</f>
        <v>307328</v>
      </c>
      <c r="F9" s="1"/>
      <c r="G9" s="1"/>
      <c r="H9" s="1"/>
      <c r="I9" s="1"/>
      <c r="J9" s="1"/>
    </row>
    <row r="10" spans="1:10" x14ac:dyDescent="0.25">
      <c r="A10" s="1">
        <v>8</v>
      </c>
      <c r="B10" s="1">
        <v>805</v>
      </c>
      <c r="C10" s="1">
        <f t="shared" si="0"/>
        <v>6440</v>
      </c>
      <c r="D10">
        <f t="shared" si="1"/>
        <v>512</v>
      </c>
      <c r="E10" s="1">
        <f>A10^3*B10</f>
        <v>412160</v>
      </c>
      <c r="F10" s="1"/>
      <c r="G10" s="1"/>
      <c r="H10" s="1"/>
      <c r="I10" s="1"/>
      <c r="J10" s="1"/>
    </row>
    <row r="11" spans="1:10" x14ac:dyDescent="0.25">
      <c r="A11" s="1">
        <v>9</v>
      </c>
      <c r="B11" s="1">
        <v>690</v>
      </c>
      <c r="C11" s="1">
        <f t="shared" si="0"/>
        <v>6210</v>
      </c>
      <c r="D11">
        <f t="shared" si="1"/>
        <v>729</v>
      </c>
      <c r="E11" s="1">
        <f>A11^3*B11</f>
        <v>503010</v>
      </c>
      <c r="F11" s="1"/>
      <c r="G11" s="1"/>
      <c r="H11" s="1"/>
      <c r="I11" s="1"/>
      <c r="J11" s="1"/>
    </row>
    <row r="12" spans="1:10" x14ac:dyDescent="0.25">
      <c r="A12" s="1">
        <v>10</v>
      </c>
      <c r="B12" s="1">
        <v>565</v>
      </c>
      <c r="C12" s="1">
        <f t="shared" si="0"/>
        <v>5650</v>
      </c>
      <c r="D12">
        <f t="shared" si="1"/>
        <v>1000</v>
      </c>
      <c r="E12" s="1">
        <f>A12^3*B12</f>
        <v>565000</v>
      </c>
      <c r="F12" s="1"/>
      <c r="G12" s="1"/>
      <c r="H12" s="1"/>
      <c r="I12" s="1"/>
      <c r="J12" s="1"/>
    </row>
    <row r="13" spans="1:10" x14ac:dyDescent="0.25">
      <c r="A13" s="1">
        <v>11</v>
      </c>
      <c r="B13" s="1">
        <v>444</v>
      </c>
      <c r="C13" s="1">
        <f t="shared" si="0"/>
        <v>4884</v>
      </c>
      <c r="D13">
        <f t="shared" si="1"/>
        <v>1331</v>
      </c>
      <c r="E13" s="1">
        <f>A13^3*B13</f>
        <v>590964</v>
      </c>
      <c r="F13" s="1"/>
      <c r="G13" s="1"/>
      <c r="H13" s="1"/>
      <c r="I13" s="1"/>
      <c r="J13" s="1"/>
    </row>
    <row r="14" spans="1:10" x14ac:dyDescent="0.25">
      <c r="A14" s="1">
        <v>12</v>
      </c>
      <c r="B14" s="1">
        <v>335</v>
      </c>
      <c r="C14" s="1">
        <f t="shared" si="0"/>
        <v>4020</v>
      </c>
      <c r="D14">
        <f t="shared" si="1"/>
        <v>1728</v>
      </c>
      <c r="E14" s="1">
        <f>A14^3*B14</f>
        <v>578880</v>
      </c>
      <c r="F14" s="1"/>
      <c r="G14" s="1"/>
      <c r="H14" s="1"/>
      <c r="I14" s="1"/>
      <c r="J14" s="1"/>
    </row>
    <row r="15" spans="1:10" x14ac:dyDescent="0.25">
      <c r="A15" s="1">
        <v>13</v>
      </c>
      <c r="B15" s="1">
        <v>243</v>
      </c>
      <c r="C15" s="1">
        <f t="shared" si="0"/>
        <v>3159</v>
      </c>
      <c r="D15">
        <f t="shared" si="1"/>
        <v>2197</v>
      </c>
      <c r="E15" s="1">
        <f>A15^3*B15</f>
        <v>533871</v>
      </c>
      <c r="F15" s="1"/>
      <c r="G15" s="1"/>
      <c r="H15" s="1"/>
      <c r="I15" s="1"/>
      <c r="J15" s="1"/>
    </row>
    <row r="16" spans="1:10" x14ac:dyDescent="0.25">
      <c r="A16" s="1">
        <v>14</v>
      </c>
      <c r="B16" s="1">
        <v>170</v>
      </c>
      <c r="C16" s="1">
        <f t="shared" si="0"/>
        <v>2380</v>
      </c>
      <c r="D16">
        <f t="shared" si="1"/>
        <v>2744</v>
      </c>
      <c r="E16" s="1">
        <f>A16^3*B16</f>
        <v>466480</v>
      </c>
      <c r="F16" s="1" t="s">
        <v>16</v>
      </c>
      <c r="G16" s="1"/>
      <c r="H16" s="1"/>
      <c r="I16" s="1"/>
      <c r="J16" s="1"/>
    </row>
    <row r="17" spans="1:10" x14ac:dyDescent="0.25">
      <c r="A17" s="1">
        <v>15</v>
      </c>
      <c r="B17" s="1">
        <v>114</v>
      </c>
      <c r="C17" s="1">
        <f t="shared" si="0"/>
        <v>1710</v>
      </c>
      <c r="D17">
        <f t="shared" si="1"/>
        <v>3375</v>
      </c>
      <c r="E17" s="1">
        <f>A17^3*B17</f>
        <v>384750</v>
      </c>
      <c r="F17" s="1"/>
      <c r="G17" s="1"/>
      <c r="H17" s="1"/>
      <c r="I17" s="1"/>
      <c r="J17" s="1"/>
    </row>
    <row r="18" spans="1:10" x14ac:dyDescent="0.25">
      <c r="A18" s="1">
        <v>16</v>
      </c>
      <c r="B18" s="1">
        <v>74</v>
      </c>
      <c r="C18" s="1">
        <f t="shared" si="0"/>
        <v>1184</v>
      </c>
      <c r="D18">
        <f t="shared" si="1"/>
        <v>4096</v>
      </c>
      <c r="E18" s="1">
        <f>A18^3*B18</f>
        <v>303104</v>
      </c>
      <c r="F18" s="1"/>
      <c r="G18" s="1"/>
      <c r="H18" s="1"/>
      <c r="I18" s="1"/>
      <c r="J18" s="1"/>
    </row>
    <row r="19" spans="1:10" x14ac:dyDescent="0.25">
      <c r="A19" s="1">
        <v>17</v>
      </c>
      <c r="B19" s="1">
        <v>46</v>
      </c>
      <c r="C19" s="1">
        <f t="shared" si="0"/>
        <v>782</v>
      </c>
      <c r="D19">
        <f t="shared" si="1"/>
        <v>4913</v>
      </c>
      <c r="E19" s="1">
        <f>A19^3*B19</f>
        <v>225998</v>
      </c>
      <c r="F19" s="1"/>
      <c r="G19" s="1"/>
      <c r="H19" s="1"/>
      <c r="I19" s="1"/>
      <c r="J19" s="1"/>
    </row>
    <row r="20" spans="1:10" x14ac:dyDescent="0.25">
      <c r="A20" s="1">
        <v>18</v>
      </c>
      <c r="B20" s="1">
        <v>28</v>
      </c>
      <c r="C20" s="1">
        <f t="shared" si="0"/>
        <v>504</v>
      </c>
      <c r="D20">
        <f t="shared" si="1"/>
        <v>5832</v>
      </c>
      <c r="E20" s="1">
        <f>A20^3*B20</f>
        <v>163296</v>
      </c>
      <c r="F20" s="1"/>
      <c r="G20" s="1"/>
      <c r="H20" s="1"/>
      <c r="I20" s="1"/>
      <c r="J20" s="1"/>
    </row>
    <row r="21" spans="1:10" x14ac:dyDescent="0.25">
      <c r="A21" s="1">
        <v>19</v>
      </c>
      <c r="B21" s="1">
        <v>16</v>
      </c>
      <c r="C21" s="1">
        <f t="shared" si="0"/>
        <v>304</v>
      </c>
      <c r="D21">
        <f t="shared" si="1"/>
        <v>6859</v>
      </c>
      <c r="E21" s="1">
        <f>A21^3*B21</f>
        <v>109744</v>
      </c>
      <c r="F21" s="1"/>
      <c r="G21" s="1"/>
      <c r="H21" s="1"/>
      <c r="I21" s="1"/>
      <c r="J21" s="1"/>
    </row>
    <row r="22" spans="1:10" x14ac:dyDescent="0.25">
      <c r="A22" s="1">
        <v>20</v>
      </c>
      <c r="B22" s="1">
        <v>9</v>
      </c>
      <c r="C22" s="1">
        <f t="shared" si="0"/>
        <v>180</v>
      </c>
      <c r="D22">
        <f t="shared" si="1"/>
        <v>8000</v>
      </c>
      <c r="E22" s="1">
        <f>A22^3*B22</f>
        <v>72000</v>
      </c>
      <c r="F22" s="1"/>
      <c r="G22" s="1"/>
      <c r="H22" s="1"/>
      <c r="I22" s="1"/>
      <c r="J22" s="1"/>
    </row>
    <row r="23" spans="1:10" x14ac:dyDescent="0.25">
      <c r="A23" s="1">
        <v>21</v>
      </c>
      <c r="B23" s="1">
        <v>5</v>
      </c>
      <c r="C23" s="1">
        <f t="shared" si="0"/>
        <v>105</v>
      </c>
      <c r="D23">
        <f t="shared" si="1"/>
        <v>9261</v>
      </c>
      <c r="E23" s="1">
        <f>A23^3*B23</f>
        <v>46305</v>
      </c>
      <c r="F23" s="1"/>
      <c r="G23" s="1"/>
      <c r="H23" s="1"/>
      <c r="I23" s="1"/>
      <c r="J23" s="1"/>
    </row>
    <row r="24" spans="1:10" x14ac:dyDescent="0.25">
      <c r="A24" s="1">
        <v>22</v>
      </c>
      <c r="B24" s="1">
        <v>3</v>
      </c>
      <c r="C24" s="1">
        <f t="shared" si="0"/>
        <v>66</v>
      </c>
      <c r="D24">
        <f t="shared" si="1"/>
        <v>10648</v>
      </c>
      <c r="E24" s="1">
        <f>A24^3*B24</f>
        <v>31944</v>
      </c>
      <c r="F24" s="1"/>
      <c r="G24" s="1"/>
      <c r="H24" s="1"/>
      <c r="I24" s="1"/>
      <c r="J24" s="1"/>
    </row>
    <row r="25" spans="1:10" x14ac:dyDescent="0.25">
      <c r="A25" s="1">
        <v>23</v>
      </c>
      <c r="B25" s="1">
        <v>1</v>
      </c>
      <c r="C25" s="1">
        <f t="shared" si="0"/>
        <v>23</v>
      </c>
      <c r="D25">
        <f t="shared" si="1"/>
        <v>12167</v>
      </c>
      <c r="E25" s="1">
        <f>A25^3*B25</f>
        <v>12167</v>
      </c>
      <c r="F25" s="1"/>
      <c r="G25" s="1"/>
      <c r="H25" s="1"/>
      <c r="I25" s="1"/>
      <c r="J25" s="1"/>
    </row>
    <row r="26" spans="1:10" x14ac:dyDescent="0.25">
      <c r="A26" s="1">
        <v>24</v>
      </c>
      <c r="B26" s="1">
        <v>1</v>
      </c>
      <c r="C26" s="1">
        <f t="shared" si="0"/>
        <v>24</v>
      </c>
      <c r="D26">
        <f t="shared" si="1"/>
        <v>13824</v>
      </c>
      <c r="E26" s="1">
        <f>A26^3*B26</f>
        <v>13824</v>
      </c>
      <c r="F26" s="1"/>
      <c r="G26" s="1"/>
      <c r="H26" s="1"/>
      <c r="I26" s="1"/>
      <c r="J26" s="1"/>
    </row>
    <row r="27" spans="1:10" x14ac:dyDescent="0.25">
      <c r="A27" s="1">
        <v>25</v>
      </c>
      <c r="B27" s="1">
        <v>0</v>
      </c>
      <c r="C27" s="1">
        <f t="shared" si="0"/>
        <v>0</v>
      </c>
      <c r="D27">
        <f t="shared" si="1"/>
        <v>15625</v>
      </c>
      <c r="E27" s="1">
        <f>A27^3*B27</f>
        <v>0</v>
      </c>
      <c r="F27" s="1"/>
      <c r="G27" s="1"/>
      <c r="H27" s="1"/>
      <c r="I27" s="1"/>
      <c r="J27" s="1"/>
    </row>
  </sheetData>
  <mergeCells count="1">
    <mergeCell ref="H1:J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5"/>
  <sheetViews>
    <sheetView tabSelected="1" workbookViewId="0">
      <selection activeCell="I6" sqref="I6"/>
    </sheetView>
  </sheetViews>
  <sheetFormatPr defaultRowHeight="15" x14ac:dyDescent="0.25"/>
  <cols>
    <col min="6" max="6" width="12.7109375" style="1" bestFit="1" customWidth="1"/>
    <col min="7" max="8" width="9.140625" style="1"/>
  </cols>
  <sheetData>
    <row r="2" spans="1:8" x14ac:dyDescent="0.25">
      <c r="A2" t="s">
        <v>18</v>
      </c>
      <c r="B2">
        <v>2</v>
      </c>
      <c r="F2" s="1" t="s">
        <v>18</v>
      </c>
      <c r="G2" s="1">
        <v>2</v>
      </c>
    </row>
    <row r="3" spans="1:8" ht="18" x14ac:dyDescent="0.35">
      <c r="A3" t="s">
        <v>3</v>
      </c>
      <c r="B3">
        <v>10</v>
      </c>
      <c r="C3" t="s">
        <v>6</v>
      </c>
      <c r="F3" s="1" t="s">
        <v>2</v>
      </c>
      <c r="G3" s="1">
        <v>8</v>
      </c>
      <c r="H3" s="1" t="s">
        <v>6</v>
      </c>
    </row>
    <row r="4" spans="1:8" ht="18" x14ac:dyDescent="0.35">
      <c r="A4" t="s">
        <v>20</v>
      </c>
      <c r="B4">
        <v>15</v>
      </c>
      <c r="C4" t="s">
        <v>6</v>
      </c>
      <c r="F4" s="1" t="s">
        <v>24</v>
      </c>
      <c r="G4" s="1">
        <v>5</v>
      </c>
      <c r="H4" s="1" t="s">
        <v>6</v>
      </c>
    </row>
    <row r="5" spans="1:8" x14ac:dyDescent="0.25">
      <c r="F5" s="1" t="s">
        <v>25</v>
      </c>
      <c r="G5" s="1">
        <v>15</v>
      </c>
      <c r="H5" s="1" t="s">
        <v>6</v>
      </c>
    </row>
    <row r="6" spans="1:8" x14ac:dyDescent="0.25">
      <c r="A6" t="s">
        <v>21</v>
      </c>
      <c r="B6" s="8">
        <f>2*B3/SQRT(PI())</f>
        <v>11.283791670955127</v>
      </c>
    </row>
    <row r="7" spans="1:8" x14ac:dyDescent="0.25">
      <c r="A7" t="s">
        <v>22</v>
      </c>
      <c r="B7" s="9">
        <f>WEIBULL(B4,B2,B6,TRUE)</f>
        <v>0.82918016384706994</v>
      </c>
      <c r="F7" s="1" t="s">
        <v>21</v>
      </c>
      <c r="G7" s="1">
        <f>2*G3/SQRT(PI())</f>
        <v>9.0270333367641005</v>
      </c>
    </row>
    <row r="9" spans="1:8" x14ac:dyDescent="0.25">
      <c r="A9" t="s">
        <v>23</v>
      </c>
      <c r="B9">
        <f>WEIBULL(B4,B2,B6,FALSE)</f>
        <v>4.0248475675909307E-2</v>
      </c>
      <c r="F9" s="1" t="s">
        <v>26</v>
      </c>
      <c r="G9" s="1">
        <f>WEIBULL(G4,G2,G7,1)</f>
        <v>0.2641994270070534</v>
      </c>
    </row>
    <row r="10" spans="1:8" x14ac:dyDescent="0.25">
      <c r="F10" s="1" t="s">
        <v>27</v>
      </c>
      <c r="G10" s="1">
        <f>WEIBULL(G5,G2,G7,1)</f>
        <v>0.93678195005401188</v>
      </c>
    </row>
    <row r="12" spans="1:8" x14ac:dyDescent="0.25">
      <c r="F12" s="1" t="s">
        <v>28</v>
      </c>
      <c r="G12" s="1">
        <f>G10-G9</f>
        <v>0.67258252304695842</v>
      </c>
    </row>
    <row r="13" spans="1:8" x14ac:dyDescent="0.25">
      <c r="F13" s="1" t="s">
        <v>29</v>
      </c>
      <c r="G13" s="2">
        <f>8760*G12</f>
        <v>5891.8229018913562</v>
      </c>
      <c r="H13" s="1" t="s">
        <v>11</v>
      </c>
    </row>
    <row r="14" spans="1:8" x14ac:dyDescent="0.25">
      <c r="A14" t="s">
        <v>19</v>
      </c>
      <c r="B14" t="s">
        <v>30</v>
      </c>
    </row>
    <row r="15" spans="1:8" x14ac:dyDescent="0.25">
      <c r="A15">
        <v>0</v>
      </c>
      <c r="B15">
        <f>WEIBULL(A15,$G$2,$G$7,0)</f>
        <v>0</v>
      </c>
    </row>
    <row r="16" spans="1:8" x14ac:dyDescent="0.25">
      <c r="A16">
        <v>1</v>
      </c>
      <c r="B16">
        <f t="shared" ref="B16:B45" si="0">WEIBULL(A16,$G$2,$G$7,0)</f>
        <v>2.424433676410085E-2</v>
      </c>
    </row>
    <row r="17" spans="1:2" x14ac:dyDescent="0.25">
      <c r="A17">
        <v>2</v>
      </c>
      <c r="B17">
        <f t="shared" si="0"/>
        <v>4.6735997691902488E-2</v>
      </c>
    </row>
    <row r="18" spans="1:2" x14ac:dyDescent="0.25">
      <c r="A18">
        <v>3</v>
      </c>
      <c r="B18">
        <f t="shared" si="0"/>
        <v>6.5931780116035982E-2</v>
      </c>
    </row>
    <row r="19" spans="1:2" x14ac:dyDescent="0.25">
      <c r="A19">
        <v>4</v>
      </c>
      <c r="B19">
        <f t="shared" si="0"/>
        <v>8.0672659107206543E-2</v>
      </c>
    </row>
    <row r="20" spans="1:2" x14ac:dyDescent="0.25">
      <c r="A20">
        <v>5</v>
      </c>
      <c r="B20">
        <f t="shared" si="0"/>
        <v>9.0296315414914105E-2</v>
      </c>
    </row>
    <row r="21" spans="1:2" x14ac:dyDescent="0.25">
      <c r="A21">
        <v>6</v>
      </c>
      <c r="B21">
        <f t="shared" si="0"/>
        <v>9.467291049288995E-2</v>
      </c>
    </row>
    <row r="22" spans="1:2" x14ac:dyDescent="0.25">
      <c r="A22">
        <v>7</v>
      </c>
      <c r="B22">
        <f t="shared" si="0"/>
        <v>9.4164625079912856E-2</v>
      </c>
    </row>
    <row r="23" spans="1:2" x14ac:dyDescent="0.25">
      <c r="A23">
        <v>8</v>
      </c>
      <c r="B23">
        <f t="shared" si="0"/>
        <v>8.9523242042571102E-2</v>
      </c>
    </row>
    <row r="24" spans="1:2" x14ac:dyDescent="0.25">
      <c r="A24">
        <v>9</v>
      </c>
      <c r="B24">
        <f t="shared" si="0"/>
        <v>8.1749519141446278E-2</v>
      </c>
    </row>
    <row r="25" spans="1:2" x14ac:dyDescent="0.25">
      <c r="A25">
        <v>10</v>
      </c>
      <c r="B25">
        <f t="shared" si="0"/>
        <v>7.1941649267143318E-2</v>
      </c>
    </row>
    <row r="26" spans="1:2" x14ac:dyDescent="0.25">
      <c r="A26">
        <v>11</v>
      </c>
      <c r="B26">
        <f t="shared" si="0"/>
        <v>6.1157760971925712E-2</v>
      </c>
    </row>
    <row r="27" spans="1:2" x14ac:dyDescent="0.25">
      <c r="A27">
        <v>12</v>
      </c>
      <c r="B27">
        <f t="shared" si="0"/>
        <v>5.0310594594886592E-2</v>
      </c>
    </row>
    <row r="28" spans="1:2" x14ac:dyDescent="0.25">
      <c r="A28">
        <v>13</v>
      </c>
      <c r="B28">
        <f t="shared" si="0"/>
        <v>4.0103444691411187E-2</v>
      </c>
    </row>
    <row r="29" spans="1:2" x14ac:dyDescent="0.25">
      <c r="A29">
        <v>14</v>
      </c>
      <c r="B29">
        <f t="shared" si="0"/>
        <v>3.1007538586226631E-2</v>
      </c>
    </row>
    <row r="30" spans="1:2" x14ac:dyDescent="0.25">
      <c r="A30">
        <v>15</v>
      </c>
      <c r="B30">
        <f t="shared" si="0"/>
        <v>2.3274065775537773E-2</v>
      </c>
    </row>
    <row r="31" spans="1:2" x14ac:dyDescent="0.25">
      <c r="A31">
        <v>16</v>
      </c>
      <c r="B31">
        <f t="shared" si="0"/>
        <v>1.6970066018787085E-2</v>
      </c>
    </row>
    <row r="32" spans="1:2" x14ac:dyDescent="0.25">
      <c r="A32">
        <v>17</v>
      </c>
      <c r="B32">
        <f t="shared" si="0"/>
        <v>1.2026405171894856E-2</v>
      </c>
    </row>
    <row r="33" spans="1:2" x14ac:dyDescent="0.25">
      <c r="A33">
        <v>18</v>
      </c>
      <c r="B33">
        <f t="shared" si="0"/>
        <v>8.2875008378374641E-3</v>
      </c>
    </row>
    <row r="34" spans="1:2" x14ac:dyDescent="0.25">
      <c r="A34">
        <v>19</v>
      </c>
      <c r="B34">
        <f t="shared" si="0"/>
        <v>5.5553274300877403E-3</v>
      </c>
    </row>
    <row r="35" spans="1:2" x14ac:dyDescent="0.25">
      <c r="A35">
        <v>20</v>
      </c>
      <c r="B35">
        <f t="shared" si="0"/>
        <v>3.6235298710420149E-3</v>
      </c>
    </row>
    <row r="36" spans="1:2" x14ac:dyDescent="0.25">
      <c r="A36">
        <v>21</v>
      </c>
      <c r="B36">
        <f t="shared" si="0"/>
        <v>2.3004232298264151E-3</v>
      </c>
    </row>
    <row r="37" spans="1:2" x14ac:dyDescent="0.25">
      <c r="A37">
        <v>22</v>
      </c>
      <c r="B37">
        <f t="shared" si="0"/>
        <v>1.4218000981948964E-3</v>
      </c>
    </row>
    <row r="38" spans="1:2" x14ac:dyDescent="0.25">
      <c r="A38">
        <v>23</v>
      </c>
      <c r="B38">
        <f t="shared" si="0"/>
        <v>8.5568104993510527E-4</v>
      </c>
    </row>
    <row r="39" spans="1:2" x14ac:dyDescent="0.25">
      <c r="A39">
        <v>24</v>
      </c>
      <c r="B39">
        <f t="shared" si="0"/>
        <v>5.0153858301400377E-4</v>
      </c>
    </row>
    <row r="40" spans="1:2" x14ac:dyDescent="0.25">
      <c r="A40">
        <v>25</v>
      </c>
      <c r="B40">
        <f t="shared" si="0"/>
        <v>2.8634061546039294E-4</v>
      </c>
    </row>
    <row r="41" spans="1:2" x14ac:dyDescent="0.25">
      <c r="A41">
        <v>26</v>
      </c>
      <c r="B41">
        <f t="shared" si="0"/>
        <v>1.5926008443978445E-4</v>
      </c>
    </row>
    <row r="42" spans="1:2" x14ac:dyDescent="0.25">
      <c r="A42">
        <v>27</v>
      </c>
      <c r="B42">
        <f t="shared" si="0"/>
        <v>8.630358090810366E-5</v>
      </c>
    </row>
    <row r="43" spans="1:2" x14ac:dyDescent="0.25">
      <c r="A43">
        <v>28</v>
      </c>
      <c r="B43">
        <f t="shared" si="0"/>
        <v>4.557171269745658E-5</v>
      </c>
    </row>
    <row r="44" spans="1:2" x14ac:dyDescent="0.25">
      <c r="A44">
        <v>29</v>
      </c>
      <c r="B44">
        <f t="shared" si="0"/>
        <v>2.345029955440929E-5</v>
      </c>
    </row>
    <row r="45" spans="1:2" x14ac:dyDescent="0.25">
      <c r="A45">
        <v>30</v>
      </c>
      <c r="B45">
        <f t="shared" si="0"/>
        <v>1.1760493298941139E-5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Zadatak 1</vt:lpstr>
      <vt:lpstr>Zadatak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Kajkut</dc:creator>
  <cp:lastModifiedBy>user</cp:lastModifiedBy>
  <dcterms:created xsi:type="dcterms:W3CDTF">2021-06-19T16:37:10Z</dcterms:created>
  <dcterms:modified xsi:type="dcterms:W3CDTF">2021-06-19T19:20:20Z</dcterms:modified>
</cp:coreProperties>
</file>