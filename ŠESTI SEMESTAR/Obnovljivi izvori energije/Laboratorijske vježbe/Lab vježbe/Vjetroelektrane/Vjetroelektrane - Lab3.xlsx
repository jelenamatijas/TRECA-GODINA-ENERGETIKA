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 activeTab="3"/>
  </bookViews>
  <sheets>
    <sheet name="Zadatak 1" sheetId="1" r:id="rId1"/>
    <sheet name="Zadatak 2" sheetId="3" r:id="rId2"/>
    <sheet name="Zadatak 2 mod" sheetId="2" r:id="rId3"/>
    <sheet name="Zadatak 3" sheetId="4" r:id="rId4"/>
  </sheets>
  <definedNames>
    <definedName name="solver_adj" localSheetId="3" hidden="1">'Zadatak 3'!$A$37</definedName>
    <definedName name="solver_cvg" localSheetId="3" hidden="1">0.0001</definedName>
    <definedName name="solver_drv" localSheetId="3" hidden="1">1</definedName>
    <definedName name="solver_est" localSheetId="3" hidden="1">1</definedName>
    <definedName name="solver_itr" localSheetId="3" hidden="1">100</definedName>
    <definedName name="solver_lhs1" localSheetId="3" hidden="1">'Zadatak 3'!$A$37</definedName>
    <definedName name="solver_lin" localSheetId="3" hidden="1">2</definedName>
    <definedName name="solver_neg" localSheetId="3" hidden="1">2</definedName>
    <definedName name="solver_num" localSheetId="3" hidden="1">1</definedName>
    <definedName name="solver_nwt" localSheetId="3" hidden="1">1</definedName>
    <definedName name="solver_opt" localSheetId="3" hidden="1">'Zadatak 3'!$C$37</definedName>
    <definedName name="solver_pre" localSheetId="3" hidden="1">0.000001</definedName>
    <definedName name="solver_rel1" localSheetId="3" hidden="1">3</definedName>
    <definedName name="solver_rhs1" localSheetId="3" hidden="1">0</definedName>
    <definedName name="solver_scl" localSheetId="3" hidden="1">2</definedName>
    <definedName name="solver_sho" localSheetId="3" hidden="1">2</definedName>
    <definedName name="solver_tim" localSheetId="3" hidden="1">100</definedName>
    <definedName name="solver_tol" localSheetId="3" hidden="1">0.05</definedName>
    <definedName name="solver_typ" localSheetId="3" hidden="1">3</definedName>
    <definedName name="solver_val" localSheetId="3" hidden="1">0.1652</definedName>
  </definedNames>
  <calcPr calcId="124519"/>
</workbook>
</file>

<file path=xl/calcChain.xml><?xml version="1.0" encoding="utf-8"?>
<calcChain xmlns="http://schemas.openxmlformats.org/spreadsheetml/2006/main">
  <c r="B37" i="4"/>
  <c r="C37" s="1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15"/>
  <c r="F10"/>
  <c r="F9"/>
  <c r="F8"/>
  <c r="F7"/>
  <c r="F6"/>
  <c r="F5"/>
  <c r="F4"/>
  <c r="F3"/>
  <c r="F2"/>
  <c r="L2" i="3"/>
  <c r="K2"/>
  <c r="I2"/>
  <c r="B10"/>
  <c r="L16"/>
  <c r="M16" s="1"/>
  <c r="K16"/>
  <c r="L15"/>
  <c r="M15" s="1"/>
  <c r="K15"/>
  <c r="L14"/>
  <c r="M14" s="1"/>
  <c r="K14"/>
  <c r="L13"/>
  <c r="M13" s="1"/>
  <c r="K13"/>
  <c r="L12"/>
  <c r="M12" s="1"/>
  <c r="K12"/>
  <c r="L11"/>
  <c r="M11" s="1"/>
  <c r="K11"/>
  <c r="L10"/>
  <c r="M10" s="1"/>
  <c r="K10"/>
  <c r="M9"/>
  <c r="L9"/>
  <c r="L18" s="1"/>
  <c r="K9"/>
  <c r="K18" s="1"/>
  <c r="B9"/>
  <c r="M8"/>
  <c r="L8"/>
  <c r="K8"/>
  <c r="M7"/>
  <c r="L7"/>
  <c r="K7"/>
  <c r="M6"/>
  <c r="L6"/>
  <c r="K6"/>
  <c r="M5"/>
  <c r="L5"/>
  <c r="K5"/>
  <c r="M4"/>
  <c r="L4"/>
  <c r="K4"/>
  <c r="M3"/>
  <c r="L3"/>
  <c r="K3"/>
  <c r="M2"/>
  <c r="N2" s="1"/>
  <c r="G2"/>
  <c r="H2" s="1"/>
  <c r="B10" i="2"/>
  <c r="I5" s="1"/>
  <c r="N5" s="1"/>
  <c r="K18"/>
  <c r="L18"/>
  <c r="M3"/>
  <c r="M4"/>
  <c r="M5"/>
  <c r="M6"/>
  <c r="M7"/>
  <c r="M8"/>
  <c r="M9"/>
  <c r="M10"/>
  <c r="M11"/>
  <c r="M12"/>
  <c r="M13"/>
  <c r="M14"/>
  <c r="M15"/>
  <c r="M16"/>
  <c r="M2"/>
  <c r="N2" s="1"/>
  <c r="L3"/>
  <c r="L4"/>
  <c r="L5"/>
  <c r="L6"/>
  <c r="L7"/>
  <c r="L8"/>
  <c r="L9"/>
  <c r="L10"/>
  <c r="L11"/>
  <c r="L12"/>
  <c r="L13"/>
  <c r="L14"/>
  <c r="L15"/>
  <c r="L16"/>
  <c r="K3"/>
  <c r="K4"/>
  <c r="K5"/>
  <c r="K6"/>
  <c r="K7"/>
  <c r="K8"/>
  <c r="K9"/>
  <c r="K10"/>
  <c r="K11"/>
  <c r="K12"/>
  <c r="K13"/>
  <c r="K14"/>
  <c r="K15"/>
  <c r="K16"/>
  <c r="H2"/>
  <c r="G2"/>
  <c r="B9"/>
  <c r="J10" i="1"/>
  <c r="J9"/>
  <c r="J8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"/>
  <c r="J6"/>
  <c r="J7" s="1"/>
  <c r="J5"/>
  <c r="J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"/>
  <c r="M18" i="3" l="1"/>
  <c r="J2"/>
  <c r="M18" i="2"/>
  <c r="I14"/>
  <c r="N14" s="1"/>
  <c r="I9"/>
  <c r="N9" s="1"/>
  <c r="I15"/>
  <c r="N15" s="1"/>
  <c r="I10"/>
  <c r="N10" s="1"/>
  <c r="I7"/>
  <c r="N7" s="1"/>
  <c r="I16"/>
  <c r="N16" s="1"/>
  <c r="J2"/>
  <c r="I11"/>
  <c r="N11" s="1"/>
  <c r="I3"/>
  <c r="I6"/>
  <c r="N6" s="1"/>
  <c r="I8"/>
  <c r="N8" s="1"/>
  <c r="I12"/>
  <c r="N12" s="1"/>
  <c r="I4"/>
  <c r="N4" s="1"/>
  <c r="I13"/>
  <c r="N13" s="1"/>
  <c r="G3" i="3" l="1"/>
  <c r="N3" i="2"/>
  <c r="N18" s="1"/>
  <c r="I18"/>
  <c r="G3"/>
  <c r="H3" s="1"/>
  <c r="H3" i="3" l="1"/>
  <c r="J3" i="2"/>
  <c r="I16" i="3" l="1"/>
  <c r="I15"/>
  <c r="I14"/>
  <c r="I13"/>
  <c r="I12"/>
  <c r="I11"/>
  <c r="I10"/>
  <c r="I8"/>
  <c r="I7"/>
  <c r="I6"/>
  <c r="I5"/>
  <c r="I4"/>
  <c r="I3"/>
  <c r="I9"/>
  <c r="G4" i="2"/>
  <c r="N9" i="3" l="1"/>
  <c r="N11"/>
  <c r="N10"/>
  <c r="N8"/>
  <c r="N7"/>
  <c r="N16"/>
  <c r="N6"/>
  <c r="N15"/>
  <c r="N5"/>
  <c r="N14"/>
  <c r="N4"/>
  <c r="N13"/>
  <c r="N3"/>
  <c r="I18"/>
  <c r="J3"/>
  <c r="N12"/>
  <c r="H4" i="2"/>
  <c r="G4" i="3" l="1"/>
  <c r="N18"/>
  <c r="J4" i="2"/>
  <c r="H4" i="3" l="1"/>
  <c r="G5" i="2"/>
  <c r="J4" i="3" l="1"/>
  <c r="H5" i="2"/>
  <c r="G5" i="3" l="1"/>
  <c r="J5" i="2"/>
  <c r="H5" i="3" l="1"/>
  <c r="G6" i="2"/>
  <c r="J5" i="3" l="1"/>
  <c r="H6" i="2"/>
  <c r="G6" i="3" l="1"/>
  <c r="J6" i="2"/>
  <c r="G7" i="3" l="1"/>
  <c r="H6"/>
  <c r="J6" s="1"/>
  <c r="G7" i="2"/>
  <c r="G8" i="3" l="1"/>
  <c r="H7"/>
  <c r="J7" s="1"/>
  <c r="H7" i="2"/>
  <c r="G9" i="3" l="1"/>
  <c r="H8"/>
  <c r="J8" s="1"/>
  <c r="J7" i="2"/>
  <c r="G8" s="1"/>
  <c r="G10" i="3" l="1"/>
  <c r="H9"/>
  <c r="J9" s="1"/>
  <c r="H8" i="2"/>
  <c r="J8" s="1"/>
  <c r="G9" s="1"/>
  <c r="G11" i="3" l="1"/>
  <c r="H10"/>
  <c r="J10" s="1"/>
  <c r="H9" i="2"/>
  <c r="J9" s="1"/>
  <c r="G10" s="1"/>
  <c r="H11" i="3" l="1"/>
  <c r="J11" s="1"/>
  <c r="G12" s="1"/>
  <c r="H10" i="2"/>
  <c r="J10" s="1"/>
  <c r="G11" s="1"/>
  <c r="G13" i="3" l="1"/>
  <c r="H12"/>
  <c r="J12" s="1"/>
  <c r="H11" i="2"/>
  <c r="J11" s="1"/>
  <c r="G12" s="1"/>
  <c r="G14" i="3" l="1"/>
  <c r="H13"/>
  <c r="J13" s="1"/>
  <c r="H12" i="2"/>
  <c r="J12" s="1"/>
  <c r="G13" s="1"/>
  <c r="G15" i="3" l="1"/>
  <c r="H14"/>
  <c r="J14" s="1"/>
  <c r="H13" i="2"/>
  <c r="J13" s="1"/>
  <c r="G14" s="1"/>
  <c r="G16" i="3" l="1"/>
  <c r="H16" s="1"/>
  <c r="H15"/>
  <c r="J15" s="1"/>
  <c r="H14" i="2"/>
  <c r="J14" s="1"/>
  <c r="G15" s="1"/>
  <c r="J16" i="3" l="1"/>
  <c r="J18" s="1"/>
  <c r="H18"/>
  <c r="H15" i="2"/>
  <c r="J15" s="1"/>
  <c r="G16" s="1"/>
  <c r="H16" s="1"/>
  <c r="J16" l="1"/>
  <c r="J18" s="1"/>
  <c r="H18"/>
</calcChain>
</file>

<file path=xl/sharedStrings.xml><?xml version="1.0" encoding="utf-8"?>
<sst xmlns="http://schemas.openxmlformats.org/spreadsheetml/2006/main" count="120" uniqueCount="69">
  <si>
    <t>t [h/god]</t>
  </si>
  <si>
    <t>P [kW]</t>
  </si>
  <si>
    <t>v [m/s]</t>
  </si>
  <si>
    <t>vi*ti</t>
  </si>
  <si>
    <t>vi^3*ti</t>
  </si>
  <si>
    <t>ρ</t>
  </si>
  <si>
    <t>kg/m^3</t>
  </si>
  <si>
    <t>D</t>
  </si>
  <si>
    <t>m</t>
  </si>
  <si>
    <t>vsr</t>
  </si>
  <si>
    <t>m/s</t>
  </si>
  <si>
    <t>veff</t>
  </si>
  <si>
    <t>A</t>
  </si>
  <si>
    <t>m^2</t>
  </si>
  <si>
    <t>Psr</t>
  </si>
  <si>
    <t>kW</t>
  </si>
  <si>
    <t>We</t>
  </si>
  <si>
    <t>Pi*ti</t>
  </si>
  <si>
    <t>kWh</t>
  </si>
  <si>
    <t>Wv</t>
  </si>
  <si>
    <t>η</t>
  </si>
  <si>
    <t>%</t>
  </si>
  <si>
    <t>Kapitalni troškovi</t>
  </si>
  <si>
    <t>Rok otplate</t>
  </si>
  <si>
    <t>Kamatna stopa</t>
  </si>
  <si>
    <t>KM/MW</t>
  </si>
  <si>
    <t>god</t>
  </si>
  <si>
    <t>Snaga agregata</t>
  </si>
  <si>
    <t>MW</t>
  </si>
  <si>
    <t>Troškovi održavanja</t>
  </si>
  <si>
    <t>KM</t>
  </si>
  <si>
    <t>Faktor opterećenja agregata</t>
  </si>
  <si>
    <t>Cjena el. Energije</t>
  </si>
  <si>
    <t>KM/kWh</t>
  </si>
  <si>
    <t>Podaci / proračun</t>
  </si>
  <si>
    <t>Troškovi investicije</t>
  </si>
  <si>
    <t xml:space="preserve">Rata kredita </t>
  </si>
  <si>
    <t>Godina</t>
  </si>
  <si>
    <t>Dug</t>
  </si>
  <si>
    <t>Kamata</t>
  </si>
  <si>
    <t>Rata</t>
  </si>
  <si>
    <t>Otplata</t>
  </si>
  <si>
    <t>Održavanje</t>
  </si>
  <si>
    <t>Proizvodnja el. energijer [kWh]</t>
  </si>
  <si>
    <t>Održavanje [KM]</t>
  </si>
  <si>
    <t>Prihod od prodaje el. energije [KM]</t>
  </si>
  <si>
    <t>Zarada [KM]</t>
  </si>
  <si>
    <t>Ukupno</t>
  </si>
  <si>
    <t>Broj agregata</t>
  </si>
  <si>
    <t>Snaga jednog agregata</t>
  </si>
  <si>
    <t>Troškovi</t>
  </si>
  <si>
    <t>KM/kW</t>
  </si>
  <si>
    <t>Investicija</t>
  </si>
  <si>
    <t>Godišnji povrat investicije</t>
  </si>
  <si>
    <t>Srednja brzina vjetra</t>
  </si>
  <si>
    <t>Prečnik lopatica</t>
  </si>
  <si>
    <t>Podaci</t>
  </si>
  <si>
    <t>Ukupna snaga elektrane</t>
  </si>
  <si>
    <t>CF</t>
  </si>
  <si>
    <t>Godišnja proizvodnja energije</t>
  </si>
  <si>
    <t xml:space="preserve">Ukupno ulaganje </t>
  </si>
  <si>
    <t>Kredit</t>
  </si>
  <si>
    <t>Rata kredita</t>
  </si>
  <si>
    <t>Godišnji rashodi</t>
  </si>
  <si>
    <t>Cijena el. energije</t>
  </si>
  <si>
    <t>Proračun</t>
  </si>
  <si>
    <t>vsr [m/s]</t>
  </si>
  <si>
    <t>LCOE [KM/kWh]</t>
  </si>
  <si>
    <t>Zagarantovana cijena [KM/kWh]</t>
  </si>
</sst>
</file>

<file path=xl/styles.xml><?xml version="1.0" encoding="utf-8"?>
<styleSheet xmlns="http://schemas.openxmlformats.org/spreadsheetml/2006/main">
  <numFmts count="6">
    <numFmt numFmtId="8" formatCode="#,##0.00\ &quot;KM&quot;;[Red]\-#,##0.00\ &quot;KM&quot;"/>
    <numFmt numFmtId="43" formatCode="_-* #,##0.00\ _K_M_-;\-* #,##0.00\ _K_M_-;_-* &quot;-&quot;??\ _K_M_-;_-@_-"/>
    <numFmt numFmtId="164" formatCode="0.000"/>
    <numFmt numFmtId="166" formatCode="0.00000"/>
    <numFmt numFmtId="167" formatCode="0.0000"/>
    <numFmt numFmtId="170" formatCode="_-* #,##0.0000\ _K_M_-;\-* #,##0.0000\ _K_M_-;_-* &quot;-&quot;????\ _K_M_-;_-@_-"/>
  </numFmts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43" fontId="0" fillId="0" borderId="0" xfId="1" applyFont="1"/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0" fillId="0" borderId="1" xfId="0" applyBorder="1"/>
    <xf numFmtId="43" fontId="0" fillId="0" borderId="1" xfId="1" applyFont="1" applyBorder="1"/>
    <xf numFmtId="10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left" vertical="center"/>
    </xf>
    <xf numFmtId="43" fontId="0" fillId="0" borderId="0" xfId="0" applyNumberFormat="1"/>
    <xf numFmtId="0" fontId="0" fillId="0" borderId="3" xfId="0" applyFill="1" applyBorder="1"/>
    <xf numFmtId="8" fontId="0" fillId="0" borderId="0" xfId="1" applyNumberFormat="1" applyFont="1"/>
    <xf numFmtId="0" fontId="0" fillId="0" borderId="0" xfId="0" applyAlignment="1">
      <alignment horizontal="center" vertical="center" wrapText="1"/>
    </xf>
    <xf numFmtId="170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43" fontId="0" fillId="0" borderId="0" xfId="0" applyNumberFormat="1" applyBorder="1"/>
    <xf numFmtId="43" fontId="0" fillId="0" borderId="0" xfId="1" applyFont="1" applyBorder="1"/>
    <xf numFmtId="43" fontId="0" fillId="0" borderId="8" xfId="0" applyNumberFormat="1" applyBorder="1"/>
    <xf numFmtId="0" fontId="0" fillId="0" borderId="9" xfId="0" applyBorder="1"/>
    <xf numFmtId="43" fontId="0" fillId="0" borderId="2" xfId="0" applyNumberFormat="1" applyBorder="1"/>
    <xf numFmtId="43" fontId="0" fillId="0" borderId="2" xfId="1" applyFont="1" applyBorder="1"/>
    <xf numFmtId="43" fontId="0" fillId="0" borderId="10" xfId="0" applyNumberFormat="1" applyBorder="1"/>
    <xf numFmtId="0" fontId="0" fillId="0" borderId="1" xfId="0" applyFill="1" applyBorder="1" applyAlignment="1">
      <alignment horizontal="left" vertical="center"/>
    </xf>
    <xf numFmtId="43" fontId="0" fillId="0" borderId="1" xfId="0" applyNumberFormat="1" applyBorder="1"/>
    <xf numFmtId="0" fontId="0" fillId="0" borderId="1" xfId="0" applyFill="1" applyBorder="1"/>
    <xf numFmtId="8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7" fontId="0" fillId="0" borderId="0" xfId="0" applyNumberFormat="1" applyBorder="1"/>
    <xf numFmtId="2" fontId="0" fillId="0" borderId="7" xfId="0" applyNumberFormat="1" applyBorder="1"/>
    <xf numFmtId="0" fontId="0" fillId="0" borderId="8" xfId="0" applyBorder="1"/>
    <xf numFmtId="2" fontId="0" fillId="0" borderId="9" xfId="0" applyNumberFormat="1" applyBorder="1"/>
    <xf numFmtId="167" fontId="0" fillId="0" borderId="2" xfId="0" applyNumberFormat="1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barChart>
        <c:barDir val="col"/>
        <c:grouping val="clustered"/>
        <c:ser>
          <c:idx val="0"/>
          <c:order val="0"/>
          <c:tx>
            <c:strRef>
              <c:f>'Zadatak 2 mod'!$G$1</c:f>
              <c:strCache>
                <c:ptCount val="1"/>
                <c:pt idx="0">
                  <c:v>Dug</c:v>
                </c:pt>
              </c:strCache>
            </c:strRef>
          </c:tx>
          <c:val>
            <c:numRef>
              <c:f>'Zadatak 2 mod'!$G$2:$G$16</c:f>
              <c:numCache>
                <c:formatCode>_-* #,##0.00\ _K_M_-;\-* #,##0.00\ _K_M_-;_-* "-"??\ _K_M_-;_-@_-</c:formatCode>
                <c:ptCount val="15"/>
                <c:pt idx="0">
                  <c:v>5000000</c:v>
                </c:pt>
                <c:pt idx="1">
                  <c:v>5300000</c:v>
                </c:pt>
                <c:pt idx="2">
                  <c:v>5047799.9822676945</c:v>
                </c:pt>
                <c:pt idx="3">
                  <c:v>4780467.9634714508</c:v>
                </c:pt>
                <c:pt idx="4">
                  <c:v>4497096.0235474324</c:v>
                </c:pt>
                <c:pt idx="5">
                  <c:v>4196721.7672279729</c:v>
                </c:pt>
                <c:pt idx="6">
                  <c:v>3878325.0555293458</c:v>
                </c:pt>
                <c:pt idx="7">
                  <c:v>3540824.5411288012</c:v>
                </c:pt>
                <c:pt idx="8">
                  <c:v>3183073.9958642242</c:v>
                </c:pt>
                <c:pt idx="9">
                  <c:v>2803858.4178837724</c:v>
                </c:pt>
                <c:pt idx="10">
                  <c:v>2401889.9052244937</c:v>
                </c:pt>
                <c:pt idx="11">
                  <c:v>1975803.2818056582</c:v>
                </c:pt>
                <c:pt idx="12">
                  <c:v>1524151.4609816927</c:v>
                </c:pt>
                <c:pt idx="13">
                  <c:v>1045400.530908289</c:v>
                </c:pt>
                <c:pt idx="14">
                  <c:v>537924.54503048118</c:v>
                </c:pt>
              </c:numCache>
            </c:numRef>
          </c:val>
        </c:ser>
        <c:ser>
          <c:idx val="1"/>
          <c:order val="1"/>
          <c:tx>
            <c:strRef>
              <c:f>'Zadatak 2 mod'!$J$1</c:f>
              <c:strCache>
                <c:ptCount val="1"/>
                <c:pt idx="0">
                  <c:v>Otplata</c:v>
                </c:pt>
              </c:strCache>
            </c:strRef>
          </c:tx>
          <c:val>
            <c:numRef>
              <c:f>'Zadatak 2 mod'!$J$2:$J$16</c:f>
              <c:numCache>
                <c:formatCode>_-* #,##0.00\ _K_M_-;\-* #,##0.00\ _K_M_-;_-* "-"??\ _K_M_-;_-@_-</c:formatCode>
                <c:ptCount val="15"/>
                <c:pt idx="0">
                  <c:v>-300000</c:v>
                </c:pt>
                <c:pt idx="1">
                  <c:v>252200.01773230522</c:v>
                </c:pt>
                <c:pt idx="2">
                  <c:v>267332.01879624353</c:v>
                </c:pt>
                <c:pt idx="3">
                  <c:v>283371.93992401817</c:v>
                </c:pt>
                <c:pt idx="4">
                  <c:v>300374.25631945929</c:v>
                </c:pt>
                <c:pt idx="5">
                  <c:v>318396.71169862687</c:v>
                </c:pt>
                <c:pt idx="6">
                  <c:v>337500.51440054446</c:v>
                </c:pt>
                <c:pt idx="7">
                  <c:v>357750.54526457714</c:v>
                </c:pt>
                <c:pt idx="8">
                  <c:v>379215.57798045175</c:v>
                </c:pt>
                <c:pt idx="9">
                  <c:v>401968.51265927887</c:v>
                </c:pt>
                <c:pt idx="10">
                  <c:v>426086.62341883557</c:v>
                </c:pt>
                <c:pt idx="11">
                  <c:v>451651.82082396571</c:v>
                </c:pt>
                <c:pt idx="12">
                  <c:v>478750.93007340364</c:v>
                </c:pt>
                <c:pt idx="13">
                  <c:v>507475.98587780789</c:v>
                </c:pt>
                <c:pt idx="14">
                  <c:v>537924.54503047629</c:v>
                </c:pt>
              </c:numCache>
            </c:numRef>
          </c:val>
        </c:ser>
        <c:axId val="72060928"/>
        <c:axId val="72062464"/>
      </c:barChart>
      <c:catAx>
        <c:axId val="72060928"/>
        <c:scaling>
          <c:orientation val="minMax"/>
        </c:scaling>
        <c:axPos val="b"/>
        <c:tickLblPos val="nextTo"/>
        <c:crossAx val="72062464"/>
        <c:crosses val="autoZero"/>
        <c:auto val="1"/>
        <c:lblAlgn val="ctr"/>
        <c:lblOffset val="100"/>
      </c:catAx>
      <c:valAx>
        <c:axId val="72062464"/>
        <c:scaling>
          <c:orientation val="minMax"/>
        </c:scaling>
        <c:axPos val="l"/>
        <c:majorGridlines/>
        <c:numFmt formatCode="_-* #,##0.00\ _K_M_-;\-* #,##0.00\ _K_M_-;_-* &quot;-&quot;??\ _K_M_-;_-@_-" sourceLinked="1"/>
        <c:tickLblPos val="nextTo"/>
        <c:crossAx val="720609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barChart>
        <c:barDir val="col"/>
        <c:grouping val="clustered"/>
        <c:ser>
          <c:idx val="0"/>
          <c:order val="0"/>
          <c:tx>
            <c:strRef>
              <c:f>'Zadatak 2 mod'!$G$1</c:f>
              <c:strCache>
                <c:ptCount val="1"/>
                <c:pt idx="0">
                  <c:v>Dug</c:v>
                </c:pt>
              </c:strCache>
            </c:strRef>
          </c:tx>
          <c:val>
            <c:numRef>
              <c:f>'Zadatak 2 mod'!$G$2:$G$16</c:f>
              <c:numCache>
                <c:formatCode>_-* #,##0.00\ _K_M_-;\-* #,##0.00\ _K_M_-;_-* "-"??\ _K_M_-;_-@_-</c:formatCode>
                <c:ptCount val="15"/>
                <c:pt idx="0">
                  <c:v>5000000</c:v>
                </c:pt>
                <c:pt idx="1">
                  <c:v>5300000</c:v>
                </c:pt>
                <c:pt idx="2">
                  <c:v>5047799.9822676945</c:v>
                </c:pt>
                <c:pt idx="3">
                  <c:v>4780467.9634714508</c:v>
                </c:pt>
                <c:pt idx="4">
                  <c:v>4497096.0235474324</c:v>
                </c:pt>
                <c:pt idx="5">
                  <c:v>4196721.7672279729</c:v>
                </c:pt>
                <c:pt idx="6">
                  <c:v>3878325.0555293458</c:v>
                </c:pt>
                <c:pt idx="7">
                  <c:v>3540824.5411288012</c:v>
                </c:pt>
                <c:pt idx="8">
                  <c:v>3183073.9958642242</c:v>
                </c:pt>
                <c:pt idx="9">
                  <c:v>2803858.4178837724</c:v>
                </c:pt>
                <c:pt idx="10">
                  <c:v>2401889.9052244937</c:v>
                </c:pt>
                <c:pt idx="11">
                  <c:v>1975803.2818056582</c:v>
                </c:pt>
                <c:pt idx="12">
                  <c:v>1524151.4609816927</c:v>
                </c:pt>
                <c:pt idx="13">
                  <c:v>1045400.530908289</c:v>
                </c:pt>
                <c:pt idx="14">
                  <c:v>537924.54503048118</c:v>
                </c:pt>
              </c:numCache>
            </c:numRef>
          </c:val>
        </c:ser>
        <c:ser>
          <c:idx val="1"/>
          <c:order val="1"/>
          <c:tx>
            <c:strRef>
              <c:f>'Zadatak 2 mod'!$J$1</c:f>
              <c:strCache>
                <c:ptCount val="1"/>
                <c:pt idx="0">
                  <c:v>Otplata</c:v>
                </c:pt>
              </c:strCache>
            </c:strRef>
          </c:tx>
          <c:val>
            <c:numRef>
              <c:f>'Zadatak 2 mod'!$J$2:$J$16</c:f>
              <c:numCache>
                <c:formatCode>_-* #,##0.00\ _K_M_-;\-* #,##0.00\ _K_M_-;_-* "-"??\ _K_M_-;_-@_-</c:formatCode>
                <c:ptCount val="15"/>
                <c:pt idx="0">
                  <c:v>-300000</c:v>
                </c:pt>
                <c:pt idx="1">
                  <c:v>252200.01773230522</c:v>
                </c:pt>
                <c:pt idx="2">
                  <c:v>267332.01879624353</c:v>
                </c:pt>
                <c:pt idx="3">
                  <c:v>283371.93992401817</c:v>
                </c:pt>
                <c:pt idx="4">
                  <c:v>300374.25631945929</c:v>
                </c:pt>
                <c:pt idx="5">
                  <c:v>318396.71169862687</c:v>
                </c:pt>
                <c:pt idx="6">
                  <c:v>337500.51440054446</c:v>
                </c:pt>
                <c:pt idx="7">
                  <c:v>357750.54526457714</c:v>
                </c:pt>
                <c:pt idx="8">
                  <c:v>379215.57798045175</c:v>
                </c:pt>
                <c:pt idx="9">
                  <c:v>401968.51265927887</c:v>
                </c:pt>
                <c:pt idx="10">
                  <c:v>426086.62341883557</c:v>
                </c:pt>
                <c:pt idx="11">
                  <c:v>451651.82082396571</c:v>
                </c:pt>
                <c:pt idx="12">
                  <c:v>478750.93007340364</c:v>
                </c:pt>
                <c:pt idx="13">
                  <c:v>507475.98587780789</c:v>
                </c:pt>
                <c:pt idx="14">
                  <c:v>537924.54503047629</c:v>
                </c:pt>
              </c:numCache>
            </c:numRef>
          </c:val>
        </c:ser>
        <c:axId val="66867584"/>
        <c:axId val="66869120"/>
      </c:barChart>
      <c:catAx>
        <c:axId val="66867584"/>
        <c:scaling>
          <c:orientation val="minMax"/>
        </c:scaling>
        <c:axPos val="b"/>
        <c:tickLblPos val="nextTo"/>
        <c:crossAx val="66869120"/>
        <c:crosses val="autoZero"/>
        <c:auto val="1"/>
        <c:lblAlgn val="ctr"/>
        <c:lblOffset val="100"/>
      </c:catAx>
      <c:valAx>
        <c:axId val="66869120"/>
        <c:scaling>
          <c:orientation val="minMax"/>
        </c:scaling>
        <c:axPos val="l"/>
        <c:majorGridlines/>
        <c:numFmt formatCode="_-* #,##0.00\ _K_M_-;\-* #,##0.00\ _K_M_-;_-* &quot;-&quot;??\ _K_M_-;_-@_-" sourceLinked="1"/>
        <c:tickLblPos val="nextTo"/>
        <c:crossAx val="66867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tx>
            <c:strRef>
              <c:f>'Zadatak 3'!$C$14</c:f>
              <c:strCache>
                <c:ptCount val="1"/>
                <c:pt idx="0">
                  <c:v>LCOE [KM/kWh]</c:v>
                </c:pt>
              </c:strCache>
            </c:strRef>
          </c:tx>
          <c:marker>
            <c:symbol val="none"/>
          </c:marker>
          <c:xVal>
            <c:numRef>
              <c:f>'Zadatak 3'!$A$15:$A$33</c:f>
              <c:numCache>
                <c:formatCode>0.00</c:formatCode>
                <c:ptCount val="19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</c:v>
                </c:pt>
                <c:pt idx="7">
                  <c:v>9.5</c:v>
                </c:pt>
                <c:pt idx="8">
                  <c:v>10</c:v>
                </c:pt>
                <c:pt idx="9">
                  <c:v>10.5</c:v>
                </c:pt>
                <c:pt idx="10">
                  <c:v>11</c:v>
                </c:pt>
                <c:pt idx="11">
                  <c:v>11.5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  <c:pt idx="17">
                  <c:v>14.5</c:v>
                </c:pt>
                <c:pt idx="18">
                  <c:v>15</c:v>
                </c:pt>
              </c:numCache>
            </c:numRef>
          </c:xVal>
          <c:yVal>
            <c:numRef>
              <c:f>'Zadatak 3'!$C$15:$C$33</c:f>
              <c:numCache>
                <c:formatCode>0.0000</c:formatCode>
                <c:ptCount val="19"/>
                <c:pt idx="0">
                  <c:v>0.36359060745369703</c:v>
                </c:pt>
                <c:pt idx="1">
                  <c:v>0.25732280393139595</c:v>
                </c:pt>
                <c:pt idx="2">
                  <c:v>0.1991241455032379</c:v>
                </c:pt>
                <c:pt idx="3">
                  <c:v>0.16239523951288803</c:v>
                </c:pt>
                <c:pt idx="4">
                  <c:v>0.13710576605652539</c:v>
                </c:pt>
                <c:pt idx="5">
                  <c:v>0.11863152499263632</c:v>
                </c:pt>
                <c:pt idx="6">
                  <c:v>0.10454470605584013</c:v>
                </c:pt>
                <c:pt idx="7">
                  <c:v>9.3448256978746064E-2</c:v>
                </c:pt>
                <c:pt idx="8">
                  <c:v>8.4481347026006098E-2</c:v>
                </c:pt>
                <c:pt idx="9">
                  <c:v>7.7084623921749931E-2</c:v>
                </c:pt>
                <c:pt idx="10">
                  <c:v>7.0878859935452343E-2</c:v>
                </c:pt>
                <c:pt idx="11">
                  <c:v>6.5597848675631329E-2</c:v>
                </c:pt>
                <c:pt idx="12">
                  <c:v>6.1049219955030952E-2</c:v>
                </c:pt>
                <c:pt idx="13">
                  <c:v>5.7090500350493553E-2</c:v>
                </c:pt>
                <c:pt idx="14">
                  <c:v>5.3613920651128452E-2</c:v>
                </c:pt>
                <c:pt idx="15">
                  <c:v>5.0536455665435798E-2</c:v>
                </c:pt>
                <c:pt idx="16">
                  <c:v>4.7793108134512596E-2</c:v>
                </c:pt>
                <c:pt idx="17">
                  <c:v>4.5332267490774625E-2</c:v>
                </c:pt>
                <c:pt idx="18">
                  <c:v>4.3112432253421491E-2</c:v>
                </c:pt>
              </c:numCache>
            </c:numRef>
          </c:yVal>
        </c:ser>
        <c:ser>
          <c:idx val="1"/>
          <c:order val="1"/>
          <c:tx>
            <c:v>Zagarantovana cijena el energije [KM/kWh]</c:v>
          </c:tx>
          <c:marker>
            <c:symbol val="none"/>
          </c:marker>
          <c:xVal>
            <c:strRef>
              <c:f>'Zadatak 3'!$A$14:$A$33</c:f>
              <c:strCache>
                <c:ptCount val="20"/>
                <c:pt idx="0">
                  <c:v>vsr [m/s]</c:v>
                </c:pt>
                <c:pt idx="1">
                  <c:v>6,00</c:v>
                </c:pt>
                <c:pt idx="2">
                  <c:v>6,50</c:v>
                </c:pt>
                <c:pt idx="3">
                  <c:v>7,00</c:v>
                </c:pt>
                <c:pt idx="4">
                  <c:v>7,50</c:v>
                </c:pt>
                <c:pt idx="5">
                  <c:v>8,00</c:v>
                </c:pt>
                <c:pt idx="6">
                  <c:v>8,50</c:v>
                </c:pt>
                <c:pt idx="7">
                  <c:v>9,00</c:v>
                </c:pt>
                <c:pt idx="8">
                  <c:v>9,50</c:v>
                </c:pt>
                <c:pt idx="9">
                  <c:v>10,00</c:v>
                </c:pt>
                <c:pt idx="10">
                  <c:v>10,50</c:v>
                </c:pt>
                <c:pt idx="11">
                  <c:v>11,00</c:v>
                </c:pt>
                <c:pt idx="12">
                  <c:v>11,50</c:v>
                </c:pt>
                <c:pt idx="13">
                  <c:v>12,00</c:v>
                </c:pt>
                <c:pt idx="14">
                  <c:v>12,50</c:v>
                </c:pt>
                <c:pt idx="15">
                  <c:v>13,00</c:v>
                </c:pt>
                <c:pt idx="16">
                  <c:v>13,50</c:v>
                </c:pt>
                <c:pt idx="17">
                  <c:v>14,00</c:v>
                </c:pt>
                <c:pt idx="18">
                  <c:v>14,50</c:v>
                </c:pt>
                <c:pt idx="19">
                  <c:v>15,00</c:v>
                </c:pt>
              </c:strCache>
            </c:strRef>
          </c:xVal>
          <c:yVal>
            <c:numRef>
              <c:f>'Zadatak 3'!$D$15:$D$33</c:f>
              <c:numCache>
                <c:formatCode>General</c:formatCode>
                <c:ptCount val="19"/>
                <c:pt idx="0">
                  <c:v>0.16520000000000001</c:v>
                </c:pt>
                <c:pt idx="1">
                  <c:v>0.16520000000000001</c:v>
                </c:pt>
                <c:pt idx="2">
                  <c:v>0.16520000000000001</c:v>
                </c:pt>
                <c:pt idx="3">
                  <c:v>0.16520000000000001</c:v>
                </c:pt>
                <c:pt idx="4">
                  <c:v>0.16520000000000001</c:v>
                </c:pt>
                <c:pt idx="5">
                  <c:v>0.16520000000000001</c:v>
                </c:pt>
                <c:pt idx="6">
                  <c:v>0.16520000000000001</c:v>
                </c:pt>
                <c:pt idx="7">
                  <c:v>0.16520000000000001</c:v>
                </c:pt>
                <c:pt idx="8">
                  <c:v>0.16520000000000001</c:v>
                </c:pt>
                <c:pt idx="9">
                  <c:v>0.16520000000000001</c:v>
                </c:pt>
                <c:pt idx="10">
                  <c:v>0.16520000000000001</c:v>
                </c:pt>
                <c:pt idx="11">
                  <c:v>0.16520000000000001</c:v>
                </c:pt>
                <c:pt idx="12">
                  <c:v>0.16520000000000001</c:v>
                </c:pt>
                <c:pt idx="13">
                  <c:v>0.16520000000000001</c:v>
                </c:pt>
                <c:pt idx="14">
                  <c:v>0.16520000000000001</c:v>
                </c:pt>
                <c:pt idx="15">
                  <c:v>0.16520000000000001</c:v>
                </c:pt>
                <c:pt idx="16">
                  <c:v>0.16520000000000001</c:v>
                </c:pt>
                <c:pt idx="17">
                  <c:v>0.16520000000000001</c:v>
                </c:pt>
                <c:pt idx="18">
                  <c:v>0.16520000000000001</c:v>
                </c:pt>
              </c:numCache>
            </c:numRef>
          </c:yVal>
        </c:ser>
        <c:axId val="71054464"/>
        <c:axId val="70974464"/>
      </c:scatterChart>
      <c:valAx>
        <c:axId val="71054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bs-Latn-BA"/>
                  <a:t>vsr [m/s]</a:t>
                </a:r>
              </a:p>
            </c:rich>
          </c:tx>
          <c:layout/>
        </c:title>
        <c:numFmt formatCode="0.00" sourceLinked="1"/>
        <c:tickLblPos val="nextTo"/>
        <c:crossAx val="70974464"/>
        <c:crosses val="autoZero"/>
        <c:crossBetween val="midCat"/>
      </c:valAx>
      <c:valAx>
        <c:axId val="70974464"/>
        <c:scaling>
          <c:orientation val="minMax"/>
        </c:scaling>
        <c:axPos val="l"/>
        <c:majorGridlines/>
        <c:numFmt formatCode="0.0000" sourceLinked="1"/>
        <c:tickLblPos val="nextTo"/>
        <c:crossAx val="71054464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'Zadatak 3'!$C$14</c:f>
              <c:strCache>
                <c:ptCount val="1"/>
                <c:pt idx="0">
                  <c:v>LCOE [KM/kWh]</c:v>
                </c:pt>
              </c:strCache>
            </c:strRef>
          </c:tx>
          <c:marker>
            <c:symbol val="none"/>
          </c:marker>
          <c:xVal>
            <c:numRef>
              <c:f>'Zadatak 3'!$B$15:$B$33</c:f>
              <c:numCache>
                <c:formatCode>0.0000</c:formatCode>
                <c:ptCount val="19"/>
                <c:pt idx="0">
                  <c:v>0.10533333333333333</c:v>
                </c:pt>
                <c:pt idx="1">
                  <c:v>0.14883333333333332</c:v>
                </c:pt>
                <c:pt idx="2">
                  <c:v>0.1923333333333333</c:v>
                </c:pt>
                <c:pt idx="3">
                  <c:v>0.23583333333333328</c:v>
                </c:pt>
                <c:pt idx="4">
                  <c:v>0.27933333333333327</c:v>
                </c:pt>
                <c:pt idx="5">
                  <c:v>0.32283333333333325</c:v>
                </c:pt>
                <c:pt idx="6">
                  <c:v>0.36633333333333323</c:v>
                </c:pt>
                <c:pt idx="7">
                  <c:v>0.40983333333333322</c:v>
                </c:pt>
                <c:pt idx="8">
                  <c:v>0.4533333333333332</c:v>
                </c:pt>
                <c:pt idx="9">
                  <c:v>0.49683333333333329</c:v>
                </c:pt>
                <c:pt idx="10">
                  <c:v>0.54033333333333333</c:v>
                </c:pt>
                <c:pt idx="11">
                  <c:v>0.5838333333333332</c:v>
                </c:pt>
                <c:pt idx="12">
                  <c:v>0.6273333333333333</c:v>
                </c:pt>
                <c:pt idx="13">
                  <c:v>0.67083333333333317</c:v>
                </c:pt>
                <c:pt idx="14">
                  <c:v>0.71433333333333326</c:v>
                </c:pt>
                <c:pt idx="15">
                  <c:v>0.75783333333333314</c:v>
                </c:pt>
                <c:pt idx="16">
                  <c:v>0.80133333333333323</c:v>
                </c:pt>
                <c:pt idx="17">
                  <c:v>0.8448333333333331</c:v>
                </c:pt>
                <c:pt idx="18">
                  <c:v>0.8883333333333332</c:v>
                </c:pt>
              </c:numCache>
            </c:numRef>
          </c:xVal>
          <c:yVal>
            <c:numRef>
              <c:f>'Zadatak 3'!$C$15:$C$33</c:f>
              <c:numCache>
                <c:formatCode>0.0000</c:formatCode>
                <c:ptCount val="19"/>
                <c:pt idx="0">
                  <c:v>0.36359060745369703</c:v>
                </c:pt>
                <c:pt idx="1">
                  <c:v>0.25732280393139595</c:v>
                </c:pt>
                <c:pt idx="2">
                  <c:v>0.1991241455032379</c:v>
                </c:pt>
                <c:pt idx="3">
                  <c:v>0.16239523951288803</c:v>
                </c:pt>
                <c:pt idx="4">
                  <c:v>0.13710576605652539</c:v>
                </c:pt>
                <c:pt idx="5">
                  <c:v>0.11863152499263632</c:v>
                </c:pt>
                <c:pt idx="6">
                  <c:v>0.10454470605584013</c:v>
                </c:pt>
                <c:pt idx="7">
                  <c:v>9.3448256978746064E-2</c:v>
                </c:pt>
                <c:pt idx="8">
                  <c:v>8.4481347026006098E-2</c:v>
                </c:pt>
                <c:pt idx="9">
                  <c:v>7.7084623921749931E-2</c:v>
                </c:pt>
                <c:pt idx="10">
                  <c:v>7.0878859935452343E-2</c:v>
                </c:pt>
                <c:pt idx="11">
                  <c:v>6.5597848675631329E-2</c:v>
                </c:pt>
                <c:pt idx="12">
                  <c:v>6.1049219955030952E-2</c:v>
                </c:pt>
                <c:pt idx="13">
                  <c:v>5.7090500350493553E-2</c:v>
                </c:pt>
                <c:pt idx="14">
                  <c:v>5.3613920651128452E-2</c:v>
                </c:pt>
                <c:pt idx="15">
                  <c:v>5.0536455665435798E-2</c:v>
                </c:pt>
                <c:pt idx="16">
                  <c:v>4.7793108134512596E-2</c:v>
                </c:pt>
                <c:pt idx="17">
                  <c:v>4.5332267490774625E-2</c:v>
                </c:pt>
                <c:pt idx="18">
                  <c:v>4.3112432253421491E-2</c:v>
                </c:pt>
              </c:numCache>
            </c:numRef>
          </c:yVal>
        </c:ser>
        <c:axId val="112618496"/>
        <c:axId val="112616960"/>
      </c:scatterChart>
      <c:valAx>
        <c:axId val="112618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bs-Latn-BA"/>
                  <a:t>CF</a:t>
                </a:r>
              </a:p>
            </c:rich>
          </c:tx>
          <c:layout/>
        </c:title>
        <c:numFmt formatCode="0.0000" sourceLinked="1"/>
        <c:tickLblPos val="nextTo"/>
        <c:crossAx val="112616960"/>
        <c:crosses val="autoZero"/>
        <c:crossBetween val="midCat"/>
      </c:valAx>
      <c:valAx>
        <c:axId val="112616960"/>
        <c:scaling>
          <c:orientation val="minMax"/>
        </c:scaling>
        <c:axPos val="l"/>
        <c:majorGridlines/>
        <c:numFmt formatCode="0.0000" sourceLinked="1"/>
        <c:tickLblPos val="nextTo"/>
        <c:crossAx val="11261849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23</xdr:row>
      <xdr:rowOff>19050</xdr:rowOff>
    </xdr:from>
    <xdr:to>
      <xdr:col>6</xdr:col>
      <xdr:colOff>1047750</xdr:colOff>
      <xdr:row>37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23</xdr:row>
      <xdr:rowOff>19050</xdr:rowOff>
    </xdr:from>
    <xdr:to>
      <xdr:col>6</xdr:col>
      <xdr:colOff>1047750</xdr:colOff>
      <xdr:row>37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12</xdr:row>
      <xdr:rowOff>190499</xdr:rowOff>
    </xdr:from>
    <xdr:to>
      <xdr:col>9</xdr:col>
      <xdr:colOff>523874</xdr:colOff>
      <xdr:row>28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28</xdr:row>
      <xdr:rowOff>171450</xdr:rowOff>
    </xdr:from>
    <xdr:to>
      <xdr:col>8</xdr:col>
      <xdr:colOff>266700</xdr:colOff>
      <xdr:row>43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J25" sqref="J25"/>
    </sheetView>
  </sheetViews>
  <sheetFormatPr defaultRowHeight="15"/>
  <cols>
    <col min="5" max="5" width="9.28515625" bestFit="1" customWidth="1"/>
    <col min="6" max="7" width="9.5703125" bestFit="1" customWidth="1"/>
    <col min="9" max="9" width="10" bestFit="1" customWidth="1"/>
    <col min="10" max="10" width="10.5703125" bestFit="1" customWidth="1"/>
  </cols>
  <sheetData>
    <row r="1" spans="1:11">
      <c r="A1" t="s">
        <v>2</v>
      </c>
      <c r="B1" t="s">
        <v>0</v>
      </c>
      <c r="C1" t="s">
        <v>1</v>
      </c>
      <c r="E1" t="s">
        <v>3</v>
      </c>
      <c r="F1" t="s">
        <v>4</v>
      </c>
      <c r="G1" t="s">
        <v>17</v>
      </c>
    </row>
    <row r="2" spans="1:11">
      <c r="A2" s="3">
        <v>0</v>
      </c>
      <c r="B2" s="3">
        <v>0</v>
      </c>
      <c r="C2" s="3">
        <v>0</v>
      </c>
      <c r="E2" s="3">
        <f>A2*B2</f>
        <v>0</v>
      </c>
      <c r="F2" s="3">
        <f>A2^3*B2</f>
        <v>0</v>
      </c>
      <c r="G2" s="3">
        <f>C2*B2</f>
        <v>0</v>
      </c>
      <c r="I2" s="1" t="s">
        <v>5</v>
      </c>
      <c r="J2" s="2">
        <v>1.2250000000000001</v>
      </c>
      <c r="K2" t="s">
        <v>6</v>
      </c>
    </row>
    <row r="3" spans="1:11">
      <c r="A3" s="3">
        <v>1</v>
      </c>
      <c r="B3" s="3">
        <v>276</v>
      </c>
      <c r="C3" s="3">
        <v>0</v>
      </c>
      <c r="E3" s="3">
        <f t="shared" ref="E3:E28" si="0">A3*B3</f>
        <v>276</v>
      </c>
      <c r="F3" s="3">
        <f t="shared" ref="F3:F28" si="1">A3^3*B3</f>
        <v>276</v>
      </c>
      <c r="G3" s="3">
        <f t="shared" ref="G3:G28" si="2">C3*B3</f>
        <v>0</v>
      </c>
      <c r="I3" t="s">
        <v>7</v>
      </c>
      <c r="J3" s="3">
        <v>60</v>
      </c>
      <c r="K3" t="s">
        <v>8</v>
      </c>
    </row>
    <row r="4" spans="1:11">
      <c r="A4" s="3">
        <v>2</v>
      </c>
      <c r="B4" s="3">
        <v>527</v>
      </c>
      <c r="C4" s="3">
        <v>0</v>
      </c>
      <c r="E4" s="3">
        <f t="shared" si="0"/>
        <v>1054</v>
      </c>
      <c r="F4" s="3">
        <f t="shared" si="1"/>
        <v>4216</v>
      </c>
      <c r="G4" s="3">
        <f t="shared" si="2"/>
        <v>0</v>
      </c>
      <c r="I4" t="s">
        <v>9</v>
      </c>
      <c r="J4" s="3">
        <f>SUM(E2:E28)/SUM(B2:B28)</f>
        <v>7.0160311462269549</v>
      </c>
      <c r="K4" t="s">
        <v>10</v>
      </c>
    </row>
    <row r="5" spans="1:11">
      <c r="A5" s="3">
        <v>3</v>
      </c>
      <c r="B5" s="3">
        <v>729</v>
      </c>
      <c r="C5" s="3">
        <v>0</v>
      </c>
      <c r="E5" s="3">
        <f t="shared" si="0"/>
        <v>2187</v>
      </c>
      <c r="F5" s="3">
        <f t="shared" si="1"/>
        <v>19683</v>
      </c>
      <c r="G5" s="3">
        <f t="shared" si="2"/>
        <v>0</v>
      </c>
      <c r="I5" t="s">
        <v>11</v>
      </c>
      <c r="J5" s="3">
        <f>(SUM(F2:F28)/SUM(B2:B28))^(1/3)</f>
        <v>8.6857913984408484</v>
      </c>
      <c r="K5" t="s">
        <v>10</v>
      </c>
    </row>
    <row r="6" spans="1:11">
      <c r="A6" s="3">
        <v>4</v>
      </c>
      <c r="B6" s="3">
        <v>869</v>
      </c>
      <c r="C6" s="3">
        <v>33</v>
      </c>
      <c r="E6" s="3">
        <f t="shared" si="0"/>
        <v>3476</v>
      </c>
      <c r="F6" s="3">
        <f t="shared" si="1"/>
        <v>55616</v>
      </c>
      <c r="G6" s="3">
        <f t="shared" si="2"/>
        <v>28677</v>
      </c>
      <c r="I6" t="s">
        <v>12</v>
      </c>
      <c r="J6" s="3">
        <f>(J3^2/4)*PI()</f>
        <v>2827.4333882308138</v>
      </c>
      <c r="K6" t="s">
        <v>13</v>
      </c>
    </row>
    <row r="7" spans="1:11">
      <c r="A7" s="3">
        <v>5</v>
      </c>
      <c r="B7" s="3">
        <v>941</v>
      </c>
      <c r="C7" s="3">
        <v>86</v>
      </c>
      <c r="E7" s="3">
        <f t="shared" si="0"/>
        <v>4705</v>
      </c>
      <c r="F7" s="3">
        <f t="shared" si="1"/>
        <v>117625</v>
      </c>
      <c r="G7" s="3">
        <f t="shared" si="2"/>
        <v>80926</v>
      </c>
      <c r="I7" t="s">
        <v>14</v>
      </c>
      <c r="J7" s="3">
        <f>(0.5*J2*J6*J5^3)/1000</f>
        <v>1134.8191608690665</v>
      </c>
      <c r="K7" t="s">
        <v>15</v>
      </c>
    </row>
    <row r="8" spans="1:11">
      <c r="A8" s="3">
        <v>6</v>
      </c>
      <c r="B8" s="3">
        <v>946</v>
      </c>
      <c r="C8" s="3">
        <v>150</v>
      </c>
      <c r="E8" s="3">
        <f t="shared" si="0"/>
        <v>5676</v>
      </c>
      <c r="F8" s="3">
        <f t="shared" si="1"/>
        <v>204336</v>
      </c>
      <c r="G8" s="3">
        <f t="shared" si="2"/>
        <v>141900</v>
      </c>
      <c r="I8" t="s">
        <v>16</v>
      </c>
      <c r="J8" s="3">
        <f>SUM(G2:G28)</f>
        <v>2848737</v>
      </c>
      <c r="K8" t="s">
        <v>18</v>
      </c>
    </row>
    <row r="9" spans="1:11">
      <c r="A9" s="3">
        <v>7</v>
      </c>
      <c r="B9" s="3">
        <v>896</v>
      </c>
      <c r="C9" s="3">
        <v>248</v>
      </c>
      <c r="E9" s="3">
        <f t="shared" si="0"/>
        <v>6272</v>
      </c>
      <c r="F9" s="3">
        <f t="shared" si="1"/>
        <v>307328</v>
      </c>
      <c r="G9" s="3">
        <f t="shared" si="2"/>
        <v>222208</v>
      </c>
      <c r="I9" t="s">
        <v>19</v>
      </c>
      <c r="J9" s="3">
        <f>J7*SUM(B2:B28)</f>
        <v>9910375.7318695579</v>
      </c>
      <c r="K9" t="s">
        <v>18</v>
      </c>
    </row>
    <row r="10" spans="1:11">
      <c r="A10" s="3">
        <v>8</v>
      </c>
      <c r="B10" s="3">
        <v>805</v>
      </c>
      <c r="C10" s="3">
        <v>385</v>
      </c>
      <c r="E10" s="3">
        <f t="shared" si="0"/>
        <v>6440</v>
      </c>
      <c r="F10" s="3">
        <f t="shared" si="1"/>
        <v>412160</v>
      </c>
      <c r="G10" s="3">
        <f t="shared" si="2"/>
        <v>309925</v>
      </c>
      <c r="I10" s="1" t="s">
        <v>20</v>
      </c>
      <c r="J10" s="3">
        <f>J8/J9*100</f>
        <v>28.744994913150439</v>
      </c>
      <c r="K10" t="s">
        <v>21</v>
      </c>
    </row>
    <row r="11" spans="1:11">
      <c r="A11" s="3">
        <v>9</v>
      </c>
      <c r="B11" s="3">
        <v>690</v>
      </c>
      <c r="C11" s="3">
        <v>535</v>
      </c>
      <c r="E11" s="3">
        <f t="shared" si="0"/>
        <v>6210</v>
      </c>
      <c r="F11" s="3">
        <f t="shared" si="1"/>
        <v>503010</v>
      </c>
      <c r="G11" s="3">
        <f t="shared" si="2"/>
        <v>369150</v>
      </c>
    </row>
    <row r="12" spans="1:11">
      <c r="A12" s="3">
        <v>10</v>
      </c>
      <c r="B12" s="3">
        <v>565</v>
      </c>
      <c r="C12" s="3">
        <v>670</v>
      </c>
      <c r="E12" s="3">
        <f t="shared" si="0"/>
        <v>5650</v>
      </c>
      <c r="F12" s="3">
        <f t="shared" si="1"/>
        <v>565000</v>
      </c>
      <c r="G12" s="3">
        <f t="shared" si="2"/>
        <v>378550</v>
      </c>
    </row>
    <row r="13" spans="1:11">
      <c r="A13" s="3">
        <v>11</v>
      </c>
      <c r="B13" s="3">
        <v>444</v>
      </c>
      <c r="C13" s="3">
        <v>780</v>
      </c>
      <c r="E13" s="3">
        <f t="shared" si="0"/>
        <v>4884</v>
      </c>
      <c r="F13" s="3">
        <f t="shared" si="1"/>
        <v>590964</v>
      </c>
      <c r="G13" s="3">
        <f t="shared" si="2"/>
        <v>346320</v>
      </c>
    </row>
    <row r="14" spans="1:11">
      <c r="A14" s="3">
        <v>12</v>
      </c>
      <c r="B14" s="3">
        <v>335</v>
      </c>
      <c r="C14" s="3">
        <v>864</v>
      </c>
      <c r="E14" s="3">
        <f t="shared" si="0"/>
        <v>4020</v>
      </c>
      <c r="F14" s="3">
        <f t="shared" si="1"/>
        <v>578880</v>
      </c>
      <c r="G14" s="3">
        <f t="shared" si="2"/>
        <v>289440</v>
      </c>
    </row>
    <row r="15" spans="1:11">
      <c r="A15" s="3">
        <v>13</v>
      </c>
      <c r="B15" s="3">
        <v>243</v>
      </c>
      <c r="C15" s="3">
        <v>924</v>
      </c>
      <c r="E15" s="3">
        <f t="shared" si="0"/>
        <v>3159</v>
      </c>
      <c r="F15" s="3">
        <f t="shared" si="1"/>
        <v>533871</v>
      </c>
      <c r="G15" s="3">
        <f t="shared" si="2"/>
        <v>224532</v>
      </c>
    </row>
    <row r="16" spans="1:11">
      <c r="A16" s="3">
        <v>14</v>
      </c>
      <c r="B16" s="3">
        <v>170</v>
      </c>
      <c r="C16" s="3">
        <v>964</v>
      </c>
      <c r="E16" s="3">
        <f t="shared" si="0"/>
        <v>2380</v>
      </c>
      <c r="F16" s="3">
        <f t="shared" si="1"/>
        <v>466480</v>
      </c>
      <c r="G16" s="3">
        <f t="shared" si="2"/>
        <v>163880</v>
      </c>
    </row>
    <row r="17" spans="1:7">
      <c r="A17" s="3">
        <v>15</v>
      </c>
      <c r="B17" s="3">
        <v>114</v>
      </c>
      <c r="C17" s="3">
        <v>989</v>
      </c>
      <c r="E17" s="3">
        <f t="shared" si="0"/>
        <v>1710</v>
      </c>
      <c r="F17" s="3">
        <f t="shared" si="1"/>
        <v>384750</v>
      </c>
      <c r="G17" s="3">
        <f t="shared" si="2"/>
        <v>112746</v>
      </c>
    </row>
    <row r="18" spans="1:7">
      <c r="A18" s="3">
        <v>16</v>
      </c>
      <c r="B18" s="3">
        <v>74</v>
      </c>
      <c r="C18" s="3">
        <v>1000</v>
      </c>
      <c r="E18" s="3">
        <f t="shared" si="0"/>
        <v>1184</v>
      </c>
      <c r="F18" s="3">
        <f t="shared" si="1"/>
        <v>303104</v>
      </c>
      <c r="G18" s="3">
        <f t="shared" si="2"/>
        <v>74000</v>
      </c>
    </row>
    <row r="19" spans="1:7">
      <c r="A19" s="3">
        <v>17</v>
      </c>
      <c r="B19" s="3">
        <v>46</v>
      </c>
      <c r="C19" s="3">
        <v>998</v>
      </c>
      <c r="E19" s="3">
        <f t="shared" si="0"/>
        <v>782</v>
      </c>
      <c r="F19" s="3">
        <f t="shared" si="1"/>
        <v>225998</v>
      </c>
      <c r="G19" s="3">
        <f t="shared" si="2"/>
        <v>45908</v>
      </c>
    </row>
    <row r="20" spans="1:7">
      <c r="A20" s="3">
        <v>18</v>
      </c>
      <c r="B20" s="3">
        <v>28</v>
      </c>
      <c r="C20" s="3">
        <v>987</v>
      </c>
      <c r="E20" s="3">
        <f t="shared" si="0"/>
        <v>504</v>
      </c>
      <c r="F20" s="3">
        <f t="shared" si="1"/>
        <v>163296</v>
      </c>
      <c r="G20" s="3">
        <f t="shared" si="2"/>
        <v>27636</v>
      </c>
    </row>
    <row r="21" spans="1:7">
      <c r="A21" s="3">
        <v>19</v>
      </c>
      <c r="B21" s="3">
        <v>16</v>
      </c>
      <c r="C21" s="3">
        <v>968</v>
      </c>
      <c r="E21" s="3">
        <f t="shared" si="0"/>
        <v>304</v>
      </c>
      <c r="F21" s="3">
        <f t="shared" si="1"/>
        <v>109744</v>
      </c>
      <c r="G21" s="3">
        <f t="shared" si="2"/>
        <v>15488</v>
      </c>
    </row>
    <row r="22" spans="1:7">
      <c r="A22" s="3">
        <v>20</v>
      </c>
      <c r="B22" s="3">
        <v>9</v>
      </c>
      <c r="C22" s="3">
        <v>944</v>
      </c>
      <c r="E22" s="3">
        <f t="shared" si="0"/>
        <v>180</v>
      </c>
      <c r="F22" s="3">
        <f t="shared" si="1"/>
        <v>72000</v>
      </c>
      <c r="G22" s="3">
        <f t="shared" si="2"/>
        <v>8496</v>
      </c>
    </row>
    <row r="23" spans="1:7">
      <c r="A23" s="3">
        <v>21</v>
      </c>
      <c r="B23" s="3">
        <v>5</v>
      </c>
      <c r="C23" s="3">
        <v>917</v>
      </c>
      <c r="E23" s="3">
        <f t="shared" si="0"/>
        <v>105</v>
      </c>
      <c r="F23" s="3">
        <f t="shared" si="1"/>
        <v>46305</v>
      </c>
      <c r="G23" s="3">
        <f t="shared" si="2"/>
        <v>4585</v>
      </c>
    </row>
    <row r="24" spans="1:7">
      <c r="A24" s="3">
        <v>22</v>
      </c>
      <c r="B24" s="3">
        <v>3</v>
      </c>
      <c r="C24" s="3">
        <v>889</v>
      </c>
      <c r="E24" s="3">
        <f t="shared" si="0"/>
        <v>66</v>
      </c>
      <c r="F24" s="3">
        <f t="shared" si="1"/>
        <v>31944</v>
      </c>
      <c r="G24" s="3">
        <f t="shared" si="2"/>
        <v>2667</v>
      </c>
    </row>
    <row r="25" spans="1:7">
      <c r="A25" s="3">
        <v>23</v>
      </c>
      <c r="B25" s="3">
        <v>1</v>
      </c>
      <c r="C25" s="3">
        <v>863</v>
      </c>
      <c r="E25" s="3">
        <f t="shared" si="0"/>
        <v>23</v>
      </c>
      <c r="F25" s="3">
        <f t="shared" si="1"/>
        <v>12167</v>
      </c>
      <c r="G25" s="3">
        <f t="shared" si="2"/>
        <v>863</v>
      </c>
    </row>
    <row r="26" spans="1:7">
      <c r="A26" s="3">
        <v>24</v>
      </c>
      <c r="B26" s="3">
        <v>1</v>
      </c>
      <c r="C26" s="3">
        <v>840</v>
      </c>
      <c r="E26" s="3">
        <f t="shared" si="0"/>
        <v>24</v>
      </c>
      <c r="F26" s="3">
        <f t="shared" si="1"/>
        <v>13824</v>
      </c>
      <c r="G26" s="3">
        <f t="shared" si="2"/>
        <v>840</v>
      </c>
    </row>
    <row r="27" spans="1:7">
      <c r="A27" s="3">
        <v>25</v>
      </c>
      <c r="B27" s="3">
        <v>0</v>
      </c>
      <c r="C27" s="3">
        <v>822</v>
      </c>
      <c r="E27" s="3">
        <f t="shared" si="0"/>
        <v>0</v>
      </c>
      <c r="F27" s="3">
        <f t="shared" si="1"/>
        <v>0</v>
      </c>
      <c r="G27" s="3">
        <f t="shared" si="2"/>
        <v>0</v>
      </c>
    </row>
    <row r="28" spans="1:7">
      <c r="A28" s="3">
        <v>26</v>
      </c>
      <c r="B28" s="3">
        <v>0</v>
      </c>
      <c r="C28" s="3">
        <v>0</v>
      </c>
      <c r="E28" s="3">
        <f t="shared" si="0"/>
        <v>0</v>
      </c>
      <c r="F28" s="3">
        <f t="shared" si="1"/>
        <v>0</v>
      </c>
      <c r="G2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selection activeCell="A16" sqref="A16"/>
    </sheetView>
  </sheetViews>
  <sheetFormatPr defaultRowHeight="15"/>
  <cols>
    <col min="1" max="1" width="26.28515625" bestFit="1" customWidth="1"/>
    <col min="2" max="2" width="16.5703125" bestFit="1" customWidth="1"/>
    <col min="7" max="7" width="17.7109375" bestFit="1" customWidth="1"/>
    <col min="8" max="11" width="16.5703125" bestFit="1" customWidth="1"/>
    <col min="12" max="13" width="17.7109375" bestFit="1" customWidth="1"/>
    <col min="14" max="14" width="17" bestFit="1" customWidth="1"/>
  </cols>
  <sheetData>
    <row r="1" spans="1:14" ht="30">
      <c r="A1" s="12" t="s">
        <v>34</v>
      </c>
      <c r="B1" s="12"/>
      <c r="C1" s="12"/>
      <c r="F1" s="19" t="s">
        <v>37</v>
      </c>
      <c r="G1" s="20" t="s">
        <v>38</v>
      </c>
      <c r="H1" s="20" t="s">
        <v>39</v>
      </c>
      <c r="I1" s="20" t="s">
        <v>40</v>
      </c>
      <c r="J1" s="21" t="s">
        <v>41</v>
      </c>
      <c r="K1" s="17" t="s">
        <v>44</v>
      </c>
      <c r="L1" s="17" t="s">
        <v>43</v>
      </c>
      <c r="M1" s="17" t="s">
        <v>45</v>
      </c>
      <c r="N1" s="17" t="s">
        <v>46</v>
      </c>
    </row>
    <row r="2" spans="1:14">
      <c r="A2" s="5" t="s">
        <v>22</v>
      </c>
      <c r="B2" s="6">
        <v>2500000</v>
      </c>
      <c r="C2" s="7" t="s">
        <v>25</v>
      </c>
      <c r="F2" s="22">
        <v>1</v>
      </c>
      <c r="G2" s="23">
        <f>B9</f>
        <v>5000000</v>
      </c>
      <c r="H2" s="23">
        <f>G2*$B$5</f>
        <v>300000</v>
      </c>
      <c r="I2" s="24">
        <f t="shared" ref="I2:I16" si="0">$B$10</f>
        <v>514813.81977656309</v>
      </c>
      <c r="J2" s="25">
        <f>I2-H2</f>
        <v>214813.81977656309</v>
      </c>
      <c r="K2" s="14">
        <f t="shared" ref="K2:K16" si="1">$B$4</f>
        <v>100000</v>
      </c>
      <c r="L2" s="4">
        <f t="shared" ref="L2:L16" si="2">$B$3*8760*$B$6*1000</f>
        <v>5256000</v>
      </c>
      <c r="M2" s="18">
        <f>L2*$B$8</f>
        <v>868291.20000000007</v>
      </c>
      <c r="N2" s="18">
        <f>M2-K2-I2</f>
        <v>253477.38022343698</v>
      </c>
    </row>
    <row r="3" spans="1:14">
      <c r="A3" s="7" t="s">
        <v>27</v>
      </c>
      <c r="B3" s="7">
        <v>2</v>
      </c>
      <c r="C3" s="7" t="s">
        <v>28</v>
      </c>
      <c r="F3" s="22">
        <v>2</v>
      </c>
      <c r="G3" s="23">
        <f>G2-J2</f>
        <v>4785186.180223437</v>
      </c>
      <c r="H3" s="23">
        <f t="shared" ref="H3:H16" si="3">G3*$B$5</f>
        <v>287111.17081340624</v>
      </c>
      <c r="I3" s="24">
        <f t="shared" si="0"/>
        <v>514813.81977656309</v>
      </c>
      <c r="J3" s="25">
        <f t="shared" ref="J3:J16" si="4">I3-H3</f>
        <v>227702.64896315685</v>
      </c>
      <c r="K3" s="14">
        <f t="shared" si="1"/>
        <v>100000</v>
      </c>
      <c r="L3" s="4">
        <f t="shared" si="2"/>
        <v>5256000</v>
      </c>
      <c r="M3" s="18">
        <f t="shared" ref="M3:M16" si="5">L3*$B$8</f>
        <v>868291.20000000007</v>
      </c>
      <c r="N3" s="18">
        <f t="shared" ref="N3:N16" si="6">M3-K3-I3</f>
        <v>253477.38022343698</v>
      </c>
    </row>
    <row r="4" spans="1:14">
      <c r="A4" s="7" t="s">
        <v>29</v>
      </c>
      <c r="B4" s="8">
        <v>100000</v>
      </c>
      <c r="C4" s="7" t="s">
        <v>30</v>
      </c>
      <c r="F4" s="22">
        <v>3</v>
      </c>
      <c r="G4" s="23">
        <f t="shared" ref="G4:G17" si="7">G3-J3</f>
        <v>4557483.5312602799</v>
      </c>
      <c r="H4" s="23">
        <f t="shared" si="3"/>
        <v>273449.01187561679</v>
      </c>
      <c r="I4" s="24">
        <f t="shared" si="0"/>
        <v>514813.81977656309</v>
      </c>
      <c r="J4" s="25">
        <f t="shared" si="4"/>
        <v>241364.8079009463</v>
      </c>
      <c r="K4" s="14">
        <f t="shared" si="1"/>
        <v>100000</v>
      </c>
      <c r="L4" s="4">
        <f t="shared" si="2"/>
        <v>5256000</v>
      </c>
      <c r="M4" s="18">
        <f t="shared" si="5"/>
        <v>868291.20000000007</v>
      </c>
      <c r="N4" s="18">
        <f t="shared" si="6"/>
        <v>253477.38022343698</v>
      </c>
    </row>
    <row r="5" spans="1:14">
      <c r="A5" s="5" t="s">
        <v>24</v>
      </c>
      <c r="B5" s="9">
        <v>0.06</v>
      </c>
      <c r="C5" s="7"/>
      <c r="F5" s="22">
        <v>4</v>
      </c>
      <c r="G5" s="23">
        <f t="shared" si="7"/>
        <v>4316118.7233593334</v>
      </c>
      <c r="H5" s="23">
        <f t="shared" si="3"/>
        <v>258967.12340156001</v>
      </c>
      <c r="I5" s="24">
        <f t="shared" si="0"/>
        <v>514813.81977656309</v>
      </c>
      <c r="J5" s="25">
        <f t="shared" si="4"/>
        <v>255846.69637500308</v>
      </c>
      <c r="K5" s="14">
        <f t="shared" si="1"/>
        <v>100000</v>
      </c>
      <c r="L5" s="4">
        <f t="shared" si="2"/>
        <v>5256000</v>
      </c>
      <c r="M5" s="18">
        <f t="shared" si="5"/>
        <v>868291.20000000007</v>
      </c>
      <c r="N5" s="18">
        <f t="shared" si="6"/>
        <v>253477.38022343698</v>
      </c>
    </row>
    <row r="6" spans="1:14">
      <c r="A6" s="5" t="s">
        <v>31</v>
      </c>
      <c r="B6" s="10">
        <v>0.3</v>
      </c>
      <c r="C6" s="7"/>
      <c r="F6" s="22">
        <v>5</v>
      </c>
      <c r="G6" s="23">
        <f t="shared" si="7"/>
        <v>4060272.0269843303</v>
      </c>
      <c r="H6" s="23">
        <f t="shared" si="3"/>
        <v>243616.3216190598</v>
      </c>
      <c r="I6" s="24">
        <f t="shared" si="0"/>
        <v>514813.81977656309</v>
      </c>
      <c r="J6" s="25">
        <f t="shared" si="4"/>
        <v>271197.49815750332</v>
      </c>
      <c r="K6" s="14">
        <f t="shared" si="1"/>
        <v>100000</v>
      </c>
      <c r="L6" s="4">
        <f t="shared" si="2"/>
        <v>5256000</v>
      </c>
      <c r="M6" s="18">
        <f t="shared" si="5"/>
        <v>868291.20000000007</v>
      </c>
      <c r="N6" s="18">
        <f t="shared" si="6"/>
        <v>253477.38022343698</v>
      </c>
    </row>
    <row r="7" spans="1:14">
      <c r="A7" s="5" t="s">
        <v>23</v>
      </c>
      <c r="B7" s="10">
        <v>15</v>
      </c>
      <c r="C7" s="7" t="s">
        <v>26</v>
      </c>
      <c r="F7" s="22">
        <v>6</v>
      </c>
      <c r="G7" s="23">
        <f t="shared" si="7"/>
        <v>3789074.5288268272</v>
      </c>
      <c r="H7" s="23">
        <f t="shared" si="3"/>
        <v>227344.47172960962</v>
      </c>
      <c r="I7" s="24">
        <f t="shared" si="0"/>
        <v>514813.81977656309</v>
      </c>
      <c r="J7" s="25">
        <f t="shared" si="4"/>
        <v>287469.34804695344</v>
      </c>
      <c r="K7" s="14">
        <f t="shared" si="1"/>
        <v>100000</v>
      </c>
      <c r="L7" s="4">
        <f t="shared" si="2"/>
        <v>5256000</v>
      </c>
      <c r="M7" s="18">
        <f t="shared" si="5"/>
        <v>868291.20000000007</v>
      </c>
      <c r="N7" s="18">
        <f t="shared" si="6"/>
        <v>253477.38022343698</v>
      </c>
    </row>
    <row r="8" spans="1:14">
      <c r="A8" s="5" t="s">
        <v>32</v>
      </c>
      <c r="B8" s="11">
        <v>0.16520000000000001</v>
      </c>
      <c r="C8" s="7" t="s">
        <v>33</v>
      </c>
      <c r="F8" s="22">
        <v>7</v>
      </c>
      <c r="G8" s="23">
        <f t="shared" si="7"/>
        <v>3501605.1807798739</v>
      </c>
      <c r="H8" s="23">
        <f t="shared" si="3"/>
        <v>210096.31084679242</v>
      </c>
      <c r="I8" s="24">
        <f t="shared" si="0"/>
        <v>514813.81977656309</v>
      </c>
      <c r="J8" s="25">
        <f t="shared" si="4"/>
        <v>304717.50892977067</v>
      </c>
      <c r="K8" s="14">
        <f t="shared" si="1"/>
        <v>100000</v>
      </c>
      <c r="L8" s="4">
        <f t="shared" si="2"/>
        <v>5256000</v>
      </c>
      <c r="M8" s="18">
        <f t="shared" si="5"/>
        <v>868291.20000000007</v>
      </c>
      <c r="N8" s="18">
        <f t="shared" si="6"/>
        <v>253477.38022343698</v>
      </c>
    </row>
    <row r="9" spans="1:14">
      <c r="A9" s="30" t="s">
        <v>35</v>
      </c>
      <c r="B9" s="31">
        <f>B2*B3</f>
        <v>5000000</v>
      </c>
      <c r="C9" s="32" t="s">
        <v>30</v>
      </c>
      <c r="F9" s="22">
        <v>8</v>
      </c>
      <c r="G9" s="23">
        <f t="shared" si="7"/>
        <v>3196887.671850103</v>
      </c>
      <c r="H9" s="23">
        <f t="shared" si="3"/>
        <v>191813.26031100616</v>
      </c>
      <c r="I9" s="24">
        <f t="shared" si="0"/>
        <v>514813.81977656309</v>
      </c>
      <c r="J9" s="25">
        <f t="shared" si="4"/>
        <v>323000.55946555693</v>
      </c>
      <c r="K9" s="14">
        <f t="shared" si="1"/>
        <v>100000</v>
      </c>
      <c r="L9" s="4">
        <f t="shared" si="2"/>
        <v>5256000</v>
      </c>
      <c r="M9" s="18">
        <f t="shared" si="5"/>
        <v>868291.20000000007</v>
      </c>
      <c r="N9" s="18">
        <f t="shared" si="6"/>
        <v>253477.38022343698</v>
      </c>
    </row>
    <row r="10" spans="1:14">
      <c r="A10" s="30" t="s">
        <v>36</v>
      </c>
      <c r="B10" s="33">
        <f>-PMT(B5,B7,B9)</f>
        <v>514813.81977656309</v>
      </c>
      <c r="C10" s="32" t="s">
        <v>30</v>
      </c>
      <c r="F10" s="22">
        <v>9</v>
      </c>
      <c r="G10" s="23">
        <f t="shared" si="7"/>
        <v>2873887.1123845461</v>
      </c>
      <c r="H10" s="23">
        <f t="shared" si="3"/>
        <v>172433.22674307277</v>
      </c>
      <c r="I10" s="24">
        <f t="shared" si="0"/>
        <v>514813.81977656309</v>
      </c>
      <c r="J10" s="25">
        <f t="shared" si="4"/>
        <v>342380.59303349035</v>
      </c>
      <c r="K10" s="14">
        <f t="shared" si="1"/>
        <v>100000</v>
      </c>
      <c r="L10" s="4">
        <f t="shared" si="2"/>
        <v>5256000</v>
      </c>
      <c r="M10" s="18">
        <f t="shared" si="5"/>
        <v>868291.20000000007</v>
      </c>
      <c r="N10" s="18">
        <f t="shared" si="6"/>
        <v>253477.38022343698</v>
      </c>
    </row>
    <row r="11" spans="1:14">
      <c r="F11" s="22">
        <v>10</v>
      </c>
      <c r="G11" s="23">
        <f t="shared" si="7"/>
        <v>2531506.5193510558</v>
      </c>
      <c r="H11" s="23">
        <f t="shared" si="3"/>
        <v>151890.39116106334</v>
      </c>
      <c r="I11" s="24">
        <f t="shared" si="0"/>
        <v>514813.81977656309</v>
      </c>
      <c r="J11" s="25">
        <f t="shared" si="4"/>
        <v>362923.42861549975</v>
      </c>
      <c r="K11" s="14">
        <f t="shared" si="1"/>
        <v>100000</v>
      </c>
      <c r="L11" s="4">
        <f t="shared" si="2"/>
        <v>5256000</v>
      </c>
      <c r="M11" s="18">
        <f t="shared" si="5"/>
        <v>868291.20000000007</v>
      </c>
      <c r="N11" s="18">
        <f t="shared" si="6"/>
        <v>253477.38022343698</v>
      </c>
    </row>
    <row r="12" spans="1:14">
      <c r="F12" s="22">
        <v>11</v>
      </c>
      <c r="G12" s="23">
        <f t="shared" si="7"/>
        <v>2168583.0907355561</v>
      </c>
      <c r="H12" s="23">
        <f t="shared" si="3"/>
        <v>130114.98544413336</v>
      </c>
      <c r="I12" s="24">
        <f t="shared" si="0"/>
        <v>514813.81977656309</v>
      </c>
      <c r="J12" s="25">
        <f t="shared" si="4"/>
        <v>384698.83433242975</v>
      </c>
      <c r="K12" s="14">
        <f t="shared" si="1"/>
        <v>100000</v>
      </c>
      <c r="L12" s="4">
        <f t="shared" si="2"/>
        <v>5256000</v>
      </c>
      <c r="M12" s="18">
        <f t="shared" si="5"/>
        <v>868291.20000000007</v>
      </c>
      <c r="N12" s="18">
        <f t="shared" si="6"/>
        <v>253477.38022343698</v>
      </c>
    </row>
    <row r="13" spans="1:14">
      <c r="F13" s="22">
        <v>12</v>
      </c>
      <c r="G13" s="23">
        <f t="shared" si="7"/>
        <v>1783884.2564031263</v>
      </c>
      <c r="H13" s="23">
        <f t="shared" si="3"/>
        <v>107033.05538418757</v>
      </c>
      <c r="I13" s="24">
        <f t="shared" si="0"/>
        <v>514813.81977656309</v>
      </c>
      <c r="J13" s="25">
        <f t="shared" si="4"/>
        <v>407780.76439237554</v>
      </c>
      <c r="K13" s="14">
        <f t="shared" si="1"/>
        <v>100000</v>
      </c>
      <c r="L13" s="4">
        <f t="shared" si="2"/>
        <v>5256000</v>
      </c>
      <c r="M13" s="18">
        <f t="shared" si="5"/>
        <v>868291.20000000007</v>
      </c>
      <c r="N13" s="18">
        <f t="shared" si="6"/>
        <v>253477.38022343698</v>
      </c>
    </row>
    <row r="14" spans="1:14">
      <c r="F14" s="22">
        <v>13</v>
      </c>
      <c r="G14" s="23">
        <f t="shared" si="7"/>
        <v>1376103.4920107508</v>
      </c>
      <c r="H14" s="23">
        <f t="shared" si="3"/>
        <v>82566.209520645047</v>
      </c>
      <c r="I14" s="24">
        <f t="shared" si="0"/>
        <v>514813.81977656309</v>
      </c>
      <c r="J14" s="25">
        <f t="shared" si="4"/>
        <v>432247.61025591806</v>
      </c>
      <c r="K14" s="14">
        <f t="shared" si="1"/>
        <v>100000</v>
      </c>
      <c r="L14" s="4">
        <f t="shared" si="2"/>
        <v>5256000</v>
      </c>
      <c r="M14" s="18">
        <f t="shared" si="5"/>
        <v>868291.20000000007</v>
      </c>
      <c r="N14" s="18">
        <f t="shared" si="6"/>
        <v>253477.38022343698</v>
      </c>
    </row>
    <row r="15" spans="1:14">
      <c r="F15" s="22">
        <v>14</v>
      </c>
      <c r="G15" s="23">
        <f t="shared" si="7"/>
        <v>943855.88175483281</v>
      </c>
      <c r="H15" s="23">
        <f t="shared" si="3"/>
        <v>56631.352905289968</v>
      </c>
      <c r="I15" s="24">
        <f t="shared" si="0"/>
        <v>514813.81977656309</v>
      </c>
      <c r="J15" s="25">
        <f t="shared" si="4"/>
        <v>458182.46687127312</v>
      </c>
      <c r="K15" s="14">
        <f t="shared" si="1"/>
        <v>100000</v>
      </c>
      <c r="L15" s="4">
        <f t="shared" si="2"/>
        <v>5256000</v>
      </c>
      <c r="M15" s="18">
        <f t="shared" si="5"/>
        <v>868291.20000000007</v>
      </c>
      <c r="N15" s="18">
        <f t="shared" si="6"/>
        <v>253477.38022343698</v>
      </c>
    </row>
    <row r="16" spans="1:14">
      <c r="F16" s="26">
        <v>15</v>
      </c>
      <c r="G16" s="27">
        <f t="shared" si="7"/>
        <v>485673.41488355969</v>
      </c>
      <c r="H16" s="27">
        <f t="shared" si="3"/>
        <v>29140.40489301358</v>
      </c>
      <c r="I16" s="28">
        <f t="shared" si="0"/>
        <v>514813.81977656309</v>
      </c>
      <c r="J16" s="29">
        <f t="shared" si="4"/>
        <v>485673.4148835495</v>
      </c>
      <c r="K16" s="14">
        <f t="shared" si="1"/>
        <v>100000</v>
      </c>
      <c r="L16" s="4">
        <f t="shared" si="2"/>
        <v>5256000</v>
      </c>
      <c r="M16" s="18">
        <f t="shared" si="5"/>
        <v>868291.20000000007</v>
      </c>
      <c r="N16" s="18">
        <f t="shared" si="6"/>
        <v>253477.38022343698</v>
      </c>
    </row>
    <row r="17" spans="6:14">
      <c r="G17" s="27"/>
    </row>
    <row r="18" spans="6:14">
      <c r="F18" t="s">
        <v>47</v>
      </c>
      <c r="G18" s="14"/>
      <c r="H18" s="14">
        <f t="shared" ref="H18:N18" si="8">SUM(H2:H16)</f>
        <v>2722207.2966484567</v>
      </c>
      <c r="I18" s="14">
        <f t="shared" si="8"/>
        <v>7722207.2966484455</v>
      </c>
      <c r="J18" s="14">
        <f t="shared" si="8"/>
        <v>4999999.9999999898</v>
      </c>
      <c r="K18" s="14">
        <f t="shared" si="8"/>
        <v>1500000</v>
      </c>
      <c r="L18" s="14">
        <f t="shared" si="8"/>
        <v>78840000</v>
      </c>
      <c r="M18" s="14">
        <f t="shared" si="8"/>
        <v>13024367.999999996</v>
      </c>
      <c r="N18" s="14">
        <f t="shared" si="8"/>
        <v>3802160.7033515563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selection activeCell="I22" sqref="A1:XFD1048576"/>
    </sheetView>
  </sheetViews>
  <sheetFormatPr defaultRowHeight="15"/>
  <cols>
    <col min="1" max="1" width="26.28515625" bestFit="1" customWidth="1"/>
    <col min="2" max="2" width="16.5703125" bestFit="1" customWidth="1"/>
    <col min="7" max="7" width="17.7109375" bestFit="1" customWidth="1"/>
    <col min="8" max="11" width="16.5703125" bestFit="1" customWidth="1"/>
    <col min="12" max="13" width="17.7109375" bestFit="1" customWidth="1"/>
    <col min="14" max="14" width="17" bestFit="1" customWidth="1"/>
  </cols>
  <sheetData>
    <row r="1" spans="1:14" ht="45">
      <c r="A1" s="12" t="s">
        <v>34</v>
      </c>
      <c r="B1" s="12"/>
      <c r="C1" s="12"/>
      <c r="F1" s="19" t="s">
        <v>37</v>
      </c>
      <c r="G1" s="20" t="s">
        <v>38</v>
      </c>
      <c r="H1" s="20" t="s">
        <v>39</v>
      </c>
      <c r="I1" s="20" t="s">
        <v>40</v>
      </c>
      <c r="J1" s="21" t="s">
        <v>41</v>
      </c>
      <c r="K1" s="17" t="s">
        <v>44</v>
      </c>
      <c r="L1" s="17" t="s">
        <v>43</v>
      </c>
      <c r="M1" s="17" t="s">
        <v>45</v>
      </c>
      <c r="N1" s="17" t="s">
        <v>46</v>
      </c>
    </row>
    <row r="2" spans="1:14">
      <c r="A2" s="5" t="s">
        <v>22</v>
      </c>
      <c r="B2" s="6">
        <v>2500000</v>
      </c>
      <c r="C2" s="7" t="s">
        <v>25</v>
      </c>
      <c r="F2" s="22">
        <v>1</v>
      </c>
      <c r="G2" s="23">
        <f>B9</f>
        <v>5000000</v>
      </c>
      <c r="H2" s="23">
        <f>G2*$B$5</f>
        <v>300000</v>
      </c>
      <c r="I2" s="24">
        <v>0</v>
      </c>
      <c r="J2" s="25">
        <f>I2-H2</f>
        <v>-300000</v>
      </c>
      <c r="K2" s="14">
        <v>0</v>
      </c>
      <c r="L2" s="4">
        <v>0</v>
      </c>
      <c r="M2" s="18">
        <f>L2*$B$8</f>
        <v>0</v>
      </c>
      <c r="N2" s="18">
        <f>M2-K2-I2</f>
        <v>0</v>
      </c>
    </row>
    <row r="3" spans="1:14">
      <c r="A3" s="7" t="s">
        <v>27</v>
      </c>
      <c r="B3" s="7">
        <v>2</v>
      </c>
      <c r="C3" s="7" t="s">
        <v>28</v>
      </c>
      <c r="F3" s="22">
        <v>2</v>
      </c>
      <c r="G3" s="23">
        <f>G2-J2</f>
        <v>5300000</v>
      </c>
      <c r="H3" s="23">
        <f t="shared" ref="H3:H16" si="0">G3*$B$5</f>
        <v>318000</v>
      </c>
      <c r="I3" s="24">
        <f t="shared" ref="I3:I16" si="1">$B$10</f>
        <v>570200.01773230522</v>
      </c>
      <c r="J3" s="25">
        <f t="shared" ref="J3:J16" si="2">I3-H3</f>
        <v>252200.01773230522</v>
      </c>
      <c r="K3" s="14">
        <f t="shared" ref="K3:K16" si="3">$B$4</f>
        <v>100000</v>
      </c>
      <c r="L3" s="4">
        <f t="shared" ref="L3:L16" si="4">$B$3*8760*$B$6*1000</f>
        <v>5256000</v>
      </c>
      <c r="M3" s="18">
        <f t="shared" ref="M3:M16" si="5">L3*$B$8</f>
        <v>868291.20000000007</v>
      </c>
      <c r="N3" s="18">
        <f t="shared" ref="N3:N16" si="6">M3-K3-I3</f>
        <v>198091.18226769485</v>
      </c>
    </row>
    <row r="4" spans="1:14">
      <c r="A4" s="7" t="s">
        <v>29</v>
      </c>
      <c r="B4" s="8">
        <v>100000</v>
      </c>
      <c r="C4" s="7" t="s">
        <v>30</v>
      </c>
      <c r="F4" s="22">
        <v>3</v>
      </c>
      <c r="G4" s="23">
        <f t="shared" ref="G4:G17" si="7">G3-J3</f>
        <v>5047799.9822676945</v>
      </c>
      <c r="H4" s="23">
        <f t="shared" si="0"/>
        <v>302867.99893606169</v>
      </c>
      <c r="I4" s="24">
        <f t="shared" si="1"/>
        <v>570200.01773230522</v>
      </c>
      <c r="J4" s="25">
        <f t="shared" si="2"/>
        <v>267332.01879624353</v>
      </c>
      <c r="K4" s="14">
        <f t="shared" si="3"/>
        <v>100000</v>
      </c>
      <c r="L4" s="4">
        <f t="shared" si="4"/>
        <v>5256000</v>
      </c>
      <c r="M4" s="18">
        <f t="shared" si="5"/>
        <v>868291.20000000007</v>
      </c>
      <c r="N4" s="18">
        <f t="shared" si="6"/>
        <v>198091.18226769485</v>
      </c>
    </row>
    <row r="5" spans="1:14">
      <c r="A5" s="5" t="s">
        <v>24</v>
      </c>
      <c r="B5" s="9">
        <v>0.06</v>
      </c>
      <c r="C5" s="7"/>
      <c r="F5" s="22">
        <v>4</v>
      </c>
      <c r="G5" s="23">
        <f t="shared" si="7"/>
        <v>4780467.9634714508</v>
      </c>
      <c r="H5" s="23">
        <f t="shared" si="0"/>
        <v>286828.07780828705</v>
      </c>
      <c r="I5" s="24">
        <f t="shared" si="1"/>
        <v>570200.01773230522</v>
      </c>
      <c r="J5" s="25">
        <f t="shared" si="2"/>
        <v>283371.93992401817</v>
      </c>
      <c r="K5" s="14">
        <f t="shared" si="3"/>
        <v>100000</v>
      </c>
      <c r="L5" s="4">
        <f t="shared" si="4"/>
        <v>5256000</v>
      </c>
      <c r="M5" s="18">
        <f t="shared" si="5"/>
        <v>868291.20000000007</v>
      </c>
      <c r="N5" s="18">
        <f t="shared" si="6"/>
        <v>198091.18226769485</v>
      </c>
    </row>
    <row r="6" spans="1:14">
      <c r="A6" s="5" t="s">
        <v>31</v>
      </c>
      <c r="B6" s="10">
        <v>0.3</v>
      </c>
      <c r="C6" s="7"/>
      <c r="F6" s="22">
        <v>5</v>
      </c>
      <c r="G6" s="23">
        <f t="shared" si="7"/>
        <v>4497096.0235474324</v>
      </c>
      <c r="H6" s="23">
        <f t="shared" si="0"/>
        <v>269825.76141284592</v>
      </c>
      <c r="I6" s="24">
        <f t="shared" si="1"/>
        <v>570200.01773230522</v>
      </c>
      <c r="J6" s="25">
        <f t="shared" si="2"/>
        <v>300374.25631945929</v>
      </c>
      <c r="K6" s="14">
        <f t="shared" si="3"/>
        <v>100000</v>
      </c>
      <c r="L6" s="4">
        <f t="shared" si="4"/>
        <v>5256000</v>
      </c>
      <c r="M6" s="18">
        <f t="shared" si="5"/>
        <v>868291.20000000007</v>
      </c>
      <c r="N6" s="18">
        <f t="shared" si="6"/>
        <v>198091.18226769485</v>
      </c>
    </row>
    <row r="7" spans="1:14">
      <c r="A7" s="5" t="s">
        <v>23</v>
      </c>
      <c r="B7" s="10">
        <v>15</v>
      </c>
      <c r="C7" s="7" t="s">
        <v>26</v>
      </c>
      <c r="F7" s="22">
        <v>6</v>
      </c>
      <c r="G7" s="23">
        <f t="shared" si="7"/>
        <v>4196721.7672279729</v>
      </c>
      <c r="H7" s="23">
        <f t="shared" si="0"/>
        <v>251803.30603367835</v>
      </c>
      <c r="I7" s="24">
        <f t="shared" si="1"/>
        <v>570200.01773230522</v>
      </c>
      <c r="J7" s="25">
        <f t="shared" si="2"/>
        <v>318396.71169862687</v>
      </c>
      <c r="K7" s="14">
        <f t="shared" si="3"/>
        <v>100000</v>
      </c>
      <c r="L7" s="4">
        <f t="shared" si="4"/>
        <v>5256000</v>
      </c>
      <c r="M7" s="18">
        <f t="shared" si="5"/>
        <v>868291.20000000007</v>
      </c>
      <c r="N7" s="18">
        <f t="shared" si="6"/>
        <v>198091.18226769485</v>
      </c>
    </row>
    <row r="8" spans="1:14">
      <c r="A8" s="5" t="s">
        <v>32</v>
      </c>
      <c r="B8" s="11">
        <v>0.16520000000000001</v>
      </c>
      <c r="C8" s="7" t="s">
        <v>33</v>
      </c>
      <c r="F8" s="22">
        <v>7</v>
      </c>
      <c r="G8" s="23">
        <f t="shared" si="7"/>
        <v>3878325.0555293458</v>
      </c>
      <c r="H8" s="23">
        <f t="shared" si="0"/>
        <v>232699.50333176073</v>
      </c>
      <c r="I8" s="24">
        <f t="shared" si="1"/>
        <v>570200.01773230522</v>
      </c>
      <c r="J8" s="25">
        <f t="shared" si="2"/>
        <v>337500.51440054446</v>
      </c>
      <c r="K8" s="14">
        <f t="shared" si="3"/>
        <v>100000</v>
      </c>
      <c r="L8" s="4">
        <f t="shared" si="4"/>
        <v>5256000</v>
      </c>
      <c r="M8" s="18">
        <f t="shared" si="5"/>
        <v>868291.20000000007</v>
      </c>
      <c r="N8" s="18">
        <f t="shared" si="6"/>
        <v>198091.18226769485</v>
      </c>
    </row>
    <row r="9" spans="1:14">
      <c r="A9" s="13" t="s">
        <v>35</v>
      </c>
      <c r="B9" s="14">
        <f>B2*B3</f>
        <v>5000000</v>
      </c>
      <c r="C9" s="15" t="s">
        <v>30</v>
      </c>
      <c r="F9" s="22">
        <v>8</v>
      </c>
      <c r="G9" s="23">
        <f t="shared" si="7"/>
        <v>3540824.5411288012</v>
      </c>
      <c r="H9" s="23">
        <f t="shared" si="0"/>
        <v>212449.47246772808</v>
      </c>
      <c r="I9" s="24">
        <f t="shared" si="1"/>
        <v>570200.01773230522</v>
      </c>
      <c r="J9" s="25">
        <f t="shared" si="2"/>
        <v>357750.54526457714</v>
      </c>
      <c r="K9" s="14">
        <f t="shared" si="3"/>
        <v>100000</v>
      </c>
      <c r="L9" s="4">
        <f t="shared" si="4"/>
        <v>5256000</v>
      </c>
      <c r="M9" s="18">
        <f t="shared" si="5"/>
        <v>868291.20000000007</v>
      </c>
      <c r="N9" s="18">
        <f t="shared" si="6"/>
        <v>198091.18226769485</v>
      </c>
    </row>
    <row r="10" spans="1:14">
      <c r="A10" s="13" t="s">
        <v>36</v>
      </c>
      <c r="B10" s="16">
        <f>-PMT(B5,B7-1,G3)</f>
        <v>570200.01773230522</v>
      </c>
      <c r="C10" s="15" t="s">
        <v>30</v>
      </c>
      <c r="F10" s="22">
        <v>9</v>
      </c>
      <c r="G10" s="23">
        <f t="shared" si="7"/>
        <v>3183073.9958642242</v>
      </c>
      <c r="H10" s="23">
        <f t="shared" si="0"/>
        <v>190984.43975185344</v>
      </c>
      <c r="I10" s="24">
        <f t="shared" si="1"/>
        <v>570200.01773230522</v>
      </c>
      <c r="J10" s="25">
        <f t="shared" si="2"/>
        <v>379215.57798045175</v>
      </c>
      <c r="K10" s="14">
        <f t="shared" si="3"/>
        <v>100000</v>
      </c>
      <c r="L10" s="4">
        <f t="shared" si="4"/>
        <v>5256000</v>
      </c>
      <c r="M10" s="18">
        <f t="shared" si="5"/>
        <v>868291.20000000007</v>
      </c>
      <c r="N10" s="18">
        <f t="shared" si="6"/>
        <v>198091.18226769485</v>
      </c>
    </row>
    <row r="11" spans="1:14">
      <c r="F11" s="22">
        <v>10</v>
      </c>
      <c r="G11" s="23">
        <f t="shared" si="7"/>
        <v>2803858.4178837724</v>
      </c>
      <c r="H11" s="23">
        <f t="shared" si="0"/>
        <v>168231.50507302635</v>
      </c>
      <c r="I11" s="24">
        <f t="shared" si="1"/>
        <v>570200.01773230522</v>
      </c>
      <c r="J11" s="25">
        <f t="shared" si="2"/>
        <v>401968.51265927887</v>
      </c>
      <c r="K11" s="14">
        <f t="shared" si="3"/>
        <v>100000</v>
      </c>
      <c r="L11" s="4">
        <f t="shared" si="4"/>
        <v>5256000</v>
      </c>
      <c r="M11" s="18">
        <f t="shared" si="5"/>
        <v>868291.20000000007</v>
      </c>
      <c r="N11" s="18">
        <f t="shared" si="6"/>
        <v>198091.18226769485</v>
      </c>
    </row>
    <row r="12" spans="1:14">
      <c r="F12" s="22">
        <v>11</v>
      </c>
      <c r="G12" s="23">
        <f t="shared" si="7"/>
        <v>2401889.9052244937</v>
      </c>
      <c r="H12" s="23">
        <f t="shared" si="0"/>
        <v>144113.39431346962</v>
      </c>
      <c r="I12" s="24">
        <f t="shared" si="1"/>
        <v>570200.01773230522</v>
      </c>
      <c r="J12" s="25">
        <f t="shared" si="2"/>
        <v>426086.62341883557</v>
      </c>
      <c r="K12" s="14">
        <f t="shared" si="3"/>
        <v>100000</v>
      </c>
      <c r="L12" s="4">
        <f t="shared" si="4"/>
        <v>5256000</v>
      </c>
      <c r="M12" s="18">
        <f t="shared" si="5"/>
        <v>868291.20000000007</v>
      </c>
      <c r="N12" s="18">
        <f t="shared" si="6"/>
        <v>198091.18226769485</v>
      </c>
    </row>
    <row r="13" spans="1:14">
      <c r="F13" s="22">
        <v>12</v>
      </c>
      <c r="G13" s="23">
        <f t="shared" si="7"/>
        <v>1975803.2818056582</v>
      </c>
      <c r="H13" s="23">
        <f t="shared" si="0"/>
        <v>118548.19690833949</v>
      </c>
      <c r="I13" s="24">
        <f t="shared" si="1"/>
        <v>570200.01773230522</v>
      </c>
      <c r="J13" s="25">
        <f t="shared" si="2"/>
        <v>451651.82082396571</v>
      </c>
      <c r="K13" s="14">
        <f t="shared" si="3"/>
        <v>100000</v>
      </c>
      <c r="L13" s="4">
        <f t="shared" si="4"/>
        <v>5256000</v>
      </c>
      <c r="M13" s="18">
        <f t="shared" si="5"/>
        <v>868291.20000000007</v>
      </c>
      <c r="N13" s="18">
        <f t="shared" si="6"/>
        <v>198091.18226769485</v>
      </c>
    </row>
    <row r="14" spans="1:14">
      <c r="F14" s="22">
        <v>13</v>
      </c>
      <c r="G14" s="23">
        <f t="shared" si="7"/>
        <v>1524151.4609816927</v>
      </c>
      <c r="H14" s="23">
        <f t="shared" si="0"/>
        <v>91449.087658901553</v>
      </c>
      <c r="I14" s="24">
        <f t="shared" si="1"/>
        <v>570200.01773230522</v>
      </c>
      <c r="J14" s="25">
        <f t="shared" si="2"/>
        <v>478750.93007340364</v>
      </c>
      <c r="K14" s="14">
        <f t="shared" si="3"/>
        <v>100000</v>
      </c>
      <c r="L14" s="4">
        <f t="shared" si="4"/>
        <v>5256000</v>
      </c>
      <c r="M14" s="18">
        <f t="shared" si="5"/>
        <v>868291.20000000007</v>
      </c>
      <c r="N14" s="18">
        <f t="shared" si="6"/>
        <v>198091.18226769485</v>
      </c>
    </row>
    <row r="15" spans="1:14">
      <c r="F15" s="22">
        <v>14</v>
      </c>
      <c r="G15" s="23">
        <f t="shared" si="7"/>
        <v>1045400.530908289</v>
      </c>
      <c r="H15" s="23">
        <f t="shared" si="0"/>
        <v>62724.031854497342</v>
      </c>
      <c r="I15" s="24">
        <f t="shared" si="1"/>
        <v>570200.01773230522</v>
      </c>
      <c r="J15" s="25">
        <f t="shared" si="2"/>
        <v>507475.98587780789</v>
      </c>
      <c r="K15" s="14">
        <f t="shared" si="3"/>
        <v>100000</v>
      </c>
      <c r="L15" s="4">
        <f t="shared" si="4"/>
        <v>5256000</v>
      </c>
      <c r="M15" s="18">
        <f t="shared" si="5"/>
        <v>868291.20000000007</v>
      </c>
      <c r="N15" s="18">
        <f t="shared" si="6"/>
        <v>198091.18226769485</v>
      </c>
    </row>
    <row r="16" spans="1:14">
      <c r="F16" s="26">
        <v>15</v>
      </c>
      <c r="G16" s="27">
        <f t="shared" si="7"/>
        <v>537924.54503048118</v>
      </c>
      <c r="H16" s="27">
        <f t="shared" si="0"/>
        <v>32275.472701828869</v>
      </c>
      <c r="I16" s="28">
        <f t="shared" si="1"/>
        <v>570200.01773230522</v>
      </c>
      <c r="J16" s="29">
        <f t="shared" si="2"/>
        <v>537924.54503047629</v>
      </c>
      <c r="K16" s="14">
        <f t="shared" si="3"/>
        <v>100000</v>
      </c>
      <c r="L16" s="4">
        <f t="shared" si="4"/>
        <v>5256000</v>
      </c>
      <c r="M16" s="18">
        <f t="shared" si="5"/>
        <v>868291.20000000007</v>
      </c>
      <c r="N16" s="18">
        <f t="shared" si="6"/>
        <v>198091.18226769485</v>
      </c>
    </row>
    <row r="17" spans="6:14">
      <c r="G17" s="14"/>
    </row>
    <row r="18" spans="6:14">
      <c r="F18" t="s">
        <v>47</v>
      </c>
      <c r="G18" s="14"/>
      <c r="H18" s="14">
        <f t="shared" ref="H18:N18" si="8">SUM(H2:H16)</f>
        <v>2982800.2482522782</v>
      </c>
      <c r="I18" s="14">
        <f t="shared" si="8"/>
        <v>7982800.2482522754</v>
      </c>
      <c r="J18" s="14">
        <f t="shared" si="8"/>
        <v>4999999.9999999944</v>
      </c>
      <c r="K18" s="14">
        <f t="shared" si="8"/>
        <v>1400000</v>
      </c>
      <c r="L18" s="14">
        <f t="shared" si="8"/>
        <v>73584000</v>
      </c>
      <c r="M18" s="14">
        <f t="shared" si="8"/>
        <v>12156076.799999997</v>
      </c>
      <c r="N18" s="14">
        <f t="shared" si="8"/>
        <v>2773276.5517477272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>
      <selection activeCell="D11" sqref="D11"/>
    </sheetView>
  </sheetViews>
  <sheetFormatPr defaultRowHeight="15"/>
  <cols>
    <col min="1" max="1" width="24.42578125" bestFit="1" customWidth="1"/>
    <col min="2" max="2" width="17.7109375" bestFit="1" customWidth="1"/>
    <col min="3" max="3" width="15.140625" bestFit="1" customWidth="1"/>
    <col min="4" max="4" width="17.28515625" customWidth="1"/>
    <col min="5" max="5" width="28" bestFit="1" customWidth="1"/>
    <col min="6" max="6" width="18.7109375" bestFit="1" customWidth="1"/>
  </cols>
  <sheetData>
    <row r="1" spans="1:7">
      <c r="A1" s="34" t="s">
        <v>56</v>
      </c>
      <c r="B1" s="34"/>
      <c r="C1" s="34"/>
      <c r="E1" s="34" t="s">
        <v>65</v>
      </c>
      <c r="F1" s="34"/>
      <c r="G1" s="34"/>
    </row>
    <row r="2" spans="1:7">
      <c r="A2" s="7" t="s">
        <v>48</v>
      </c>
      <c r="B2" s="7">
        <v>40</v>
      </c>
      <c r="C2" s="7"/>
      <c r="E2" s="7" t="s">
        <v>57</v>
      </c>
      <c r="F2" s="7">
        <f>B2*B3</f>
        <v>60</v>
      </c>
      <c r="G2" s="7" t="s">
        <v>28</v>
      </c>
    </row>
    <row r="3" spans="1:7">
      <c r="A3" s="7" t="s">
        <v>49</v>
      </c>
      <c r="B3" s="7">
        <v>1.5</v>
      </c>
      <c r="C3" s="7" t="s">
        <v>28</v>
      </c>
      <c r="E3" s="7" t="s">
        <v>58</v>
      </c>
      <c r="F3" s="35">
        <f>0.087*B9-(B3*1000)/(B10^2)</f>
        <v>0.32283333333333325</v>
      </c>
      <c r="G3" s="7"/>
    </row>
    <row r="4" spans="1:7">
      <c r="A4" s="7" t="s">
        <v>50</v>
      </c>
      <c r="B4" s="8">
        <v>3000</v>
      </c>
      <c r="C4" s="7" t="s">
        <v>51</v>
      </c>
      <c r="E4" s="7" t="s">
        <v>59</v>
      </c>
      <c r="F4" s="8">
        <f>8760*F2*F3*1000</f>
        <v>169681199.99999994</v>
      </c>
      <c r="G4" s="7" t="s">
        <v>18</v>
      </c>
    </row>
    <row r="5" spans="1:7">
      <c r="A5" s="7" t="s">
        <v>52</v>
      </c>
      <c r="B5" s="8">
        <v>45000000</v>
      </c>
      <c r="C5" s="7" t="s">
        <v>30</v>
      </c>
      <c r="E5" s="7" t="s">
        <v>60</v>
      </c>
      <c r="F5" s="31">
        <f>B4*F2*1000</f>
        <v>180000000</v>
      </c>
      <c r="G5" s="7" t="s">
        <v>30</v>
      </c>
    </row>
    <row r="6" spans="1:7">
      <c r="A6" s="7" t="s">
        <v>42</v>
      </c>
      <c r="B6" s="9">
        <v>0.01</v>
      </c>
      <c r="C6" s="7"/>
      <c r="E6" s="7" t="s">
        <v>61</v>
      </c>
      <c r="F6" s="31">
        <f>F5-B5</f>
        <v>135000000</v>
      </c>
      <c r="G6" s="7" t="s">
        <v>30</v>
      </c>
    </row>
    <row r="7" spans="1:7">
      <c r="A7" s="7" t="s">
        <v>39</v>
      </c>
      <c r="B7" s="9">
        <v>5.8000000000000003E-2</v>
      </c>
      <c r="C7" s="7"/>
      <c r="E7" s="7" t="s">
        <v>62</v>
      </c>
      <c r="F7" s="8">
        <f>-PMT(B7,B11,F6)</f>
        <v>11579539.518580521</v>
      </c>
      <c r="G7" s="7" t="s">
        <v>30</v>
      </c>
    </row>
    <row r="8" spans="1:7">
      <c r="A8" s="7" t="s">
        <v>53</v>
      </c>
      <c r="B8" s="9">
        <v>0.15</v>
      </c>
      <c r="C8" s="7"/>
      <c r="E8" s="7" t="s">
        <v>53</v>
      </c>
      <c r="F8" s="31">
        <f>B8*B5</f>
        <v>6750000</v>
      </c>
      <c r="G8" s="7" t="s">
        <v>30</v>
      </c>
    </row>
    <row r="9" spans="1:7">
      <c r="A9" s="7" t="s">
        <v>54</v>
      </c>
      <c r="B9" s="10">
        <v>8.5</v>
      </c>
      <c r="C9" s="7" t="s">
        <v>10</v>
      </c>
      <c r="E9" s="7" t="s">
        <v>63</v>
      </c>
      <c r="F9" s="8">
        <f>F7+F8+B6*F5</f>
        <v>20129539.518580519</v>
      </c>
      <c r="G9" s="7" t="s">
        <v>30</v>
      </c>
    </row>
    <row r="10" spans="1:7">
      <c r="A10" s="7" t="s">
        <v>55</v>
      </c>
      <c r="B10" s="10">
        <v>60</v>
      </c>
      <c r="C10" s="7" t="s">
        <v>8</v>
      </c>
      <c r="E10" s="7" t="s">
        <v>64</v>
      </c>
      <c r="F10" s="11">
        <f>F9/F4</f>
        <v>0.11863152499263634</v>
      </c>
      <c r="G10" s="7" t="s">
        <v>33</v>
      </c>
    </row>
    <row r="11" spans="1:7">
      <c r="A11" s="7" t="s">
        <v>23</v>
      </c>
      <c r="B11" s="10">
        <v>20</v>
      </c>
      <c r="C11" s="7"/>
    </row>
    <row r="14" spans="1:7" ht="30">
      <c r="A14" s="36" t="s">
        <v>66</v>
      </c>
      <c r="B14" s="36" t="s">
        <v>58</v>
      </c>
      <c r="C14" s="36" t="s">
        <v>67</v>
      </c>
      <c r="D14" s="37" t="s">
        <v>68</v>
      </c>
    </row>
    <row r="15" spans="1:7">
      <c r="A15" s="39">
        <v>6</v>
      </c>
      <c r="B15" s="38">
        <f>0.087*A15-($B$3*1000)/($B$10^2)</f>
        <v>0.10533333333333333</v>
      </c>
      <c r="C15" s="38">
        <f>$F$9/(8760*$F$2*1000*B15)</f>
        <v>0.36359060745369703</v>
      </c>
      <c r="D15" s="40">
        <v>0.16520000000000001</v>
      </c>
    </row>
    <row r="16" spans="1:7">
      <c r="A16" s="39">
        <v>6.5</v>
      </c>
      <c r="B16" s="38">
        <f t="shared" ref="B16:B33" si="0">0.087*A16-($B$3*1000)/($B$10^2)</f>
        <v>0.14883333333333332</v>
      </c>
      <c r="C16" s="38">
        <f t="shared" ref="C16:C33" si="1">$F$9/(8760*$F$2*1000*B16)</f>
        <v>0.25732280393139595</v>
      </c>
      <c r="D16" s="40">
        <v>0.16520000000000001</v>
      </c>
    </row>
    <row r="17" spans="1:4">
      <c r="A17" s="39">
        <v>7</v>
      </c>
      <c r="B17" s="38">
        <f t="shared" si="0"/>
        <v>0.1923333333333333</v>
      </c>
      <c r="C17" s="38">
        <f t="shared" si="1"/>
        <v>0.1991241455032379</v>
      </c>
      <c r="D17" s="40">
        <v>0.16520000000000001</v>
      </c>
    </row>
    <row r="18" spans="1:4">
      <c r="A18" s="39">
        <v>7.5</v>
      </c>
      <c r="B18" s="38">
        <f t="shared" si="0"/>
        <v>0.23583333333333328</v>
      </c>
      <c r="C18" s="38">
        <f t="shared" si="1"/>
        <v>0.16239523951288803</v>
      </c>
      <c r="D18" s="40">
        <v>0.16520000000000001</v>
      </c>
    </row>
    <row r="19" spans="1:4">
      <c r="A19" s="39">
        <v>8</v>
      </c>
      <c r="B19" s="38">
        <f t="shared" si="0"/>
        <v>0.27933333333333327</v>
      </c>
      <c r="C19" s="38">
        <f t="shared" si="1"/>
        <v>0.13710576605652539</v>
      </c>
      <c r="D19" s="40">
        <v>0.16520000000000001</v>
      </c>
    </row>
    <row r="20" spans="1:4">
      <c r="A20" s="39">
        <v>8.5</v>
      </c>
      <c r="B20" s="38">
        <f t="shared" si="0"/>
        <v>0.32283333333333325</v>
      </c>
      <c r="C20" s="38">
        <f t="shared" si="1"/>
        <v>0.11863152499263632</v>
      </c>
      <c r="D20" s="40">
        <v>0.16520000000000001</v>
      </c>
    </row>
    <row r="21" spans="1:4">
      <c r="A21" s="39">
        <v>9</v>
      </c>
      <c r="B21" s="38">
        <f t="shared" si="0"/>
        <v>0.36633333333333323</v>
      </c>
      <c r="C21" s="38">
        <f t="shared" si="1"/>
        <v>0.10454470605584013</v>
      </c>
      <c r="D21" s="40">
        <v>0.16520000000000001</v>
      </c>
    </row>
    <row r="22" spans="1:4">
      <c r="A22" s="39">
        <v>9.5</v>
      </c>
      <c r="B22" s="38">
        <f t="shared" si="0"/>
        <v>0.40983333333333322</v>
      </c>
      <c r="C22" s="38">
        <f t="shared" si="1"/>
        <v>9.3448256978746064E-2</v>
      </c>
      <c r="D22" s="40">
        <v>0.16520000000000001</v>
      </c>
    </row>
    <row r="23" spans="1:4">
      <c r="A23" s="39">
        <v>10</v>
      </c>
      <c r="B23" s="38">
        <f t="shared" si="0"/>
        <v>0.4533333333333332</v>
      </c>
      <c r="C23" s="38">
        <f t="shared" si="1"/>
        <v>8.4481347026006098E-2</v>
      </c>
      <c r="D23" s="40">
        <v>0.16520000000000001</v>
      </c>
    </row>
    <row r="24" spans="1:4">
      <c r="A24" s="39">
        <v>10.5</v>
      </c>
      <c r="B24" s="38">
        <f t="shared" si="0"/>
        <v>0.49683333333333329</v>
      </c>
      <c r="C24" s="38">
        <f t="shared" si="1"/>
        <v>7.7084623921749931E-2</v>
      </c>
      <c r="D24" s="40">
        <v>0.16520000000000001</v>
      </c>
    </row>
    <row r="25" spans="1:4">
      <c r="A25" s="39">
        <v>11</v>
      </c>
      <c r="B25" s="38">
        <f t="shared" si="0"/>
        <v>0.54033333333333333</v>
      </c>
      <c r="C25" s="38">
        <f t="shared" si="1"/>
        <v>7.0878859935452343E-2</v>
      </c>
      <c r="D25" s="40">
        <v>0.16520000000000001</v>
      </c>
    </row>
    <row r="26" spans="1:4">
      <c r="A26" s="39">
        <v>11.5</v>
      </c>
      <c r="B26" s="38">
        <f t="shared" si="0"/>
        <v>0.5838333333333332</v>
      </c>
      <c r="C26" s="38">
        <f t="shared" si="1"/>
        <v>6.5597848675631329E-2</v>
      </c>
      <c r="D26" s="40">
        <v>0.16520000000000001</v>
      </c>
    </row>
    <row r="27" spans="1:4">
      <c r="A27" s="39">
        <v>12</v>
      </c>
      <c r="B27" s="38">
        <f t="shared" si="0"/>
        <v>0.6273333333333333</v>
      </c>
      <c r="C27" s="38">
        <f t="shared" si="1"/>
        <v>6.1049219955030952E-2</v>
      </c>
      <c r="D27" s="40">
        <v>0.16520000000000001</v>
      </c>
    </row>
    <row r="28" spans="1:4">
      <c r="A28" s="39">
        <v>12.5</v>
      </c>
      <c r="B28" s="38">
        <f t="shared" si="0"/>
        <v>0.67083333333333317</v>
      </c>
      <c r="C28" s="38">
        <f t="shared" si="1"/>
        <v>5.7090500350493553E-2</v>
      </c>
      <c r="D28" s="40">
        <v>0.16520000000000001</v>
      </c>
    </row>
    <row r="29" spans="1:4">
      <c r="A29" s="39">
        <v>13</v>
      </c>
      <c r="B29" s="38">
        <f t="shared" si="0"/>
        <v>0.71433333333333326</v>
      </c>
      <c r="C29" s="38">
        <f t="shared" si="1"/>
        <v>5.3613920651128452E-2</v>
      </c>
      <c r="D29" s="40">
        <v>0.16520000000000001</v>
      </c>
    </row>
    <row r="30" spans="1:4">
      <c r="A30" s="39">
        <v>13.5</v>
      </c>
      <c r="B30" s="38">
        <f t="shared" si="0"/>
        <v>0.75783333333333314</v>
      </c>
      <c r="C30" s="38">
        <f t="shared" si="1"/>
        <v>5.0536455665435798E-2</v>
      </c>
      <c r="D30" s="40">
        <v>0.16520000000000001</v>
      </c>
    </row>
    <row r="31" spans="1:4">
      <c r="A31" s="39">
        <v>14</v>
      </c>
      <c r="B31" s="38">
        <f t="shared" si="0"/>
        <v>0.80133333333333323</v>
      </c>
      <c r="C31" s="38">
        <f t="shared" si="1"/>
        <v>4.7793108134512596E-2</v>
      </c>
      <c r="D31" s="40">
        <v>0.16520000000000001</v>
      </c>
    </row>
    <row r="32" spans="1:4">
      <c r="A32" s="39">
        <v>14.5</v>
      </c>
      <c r="B32" s="38">
        <f t="shared" si="0"/>
        <v>0.8448333333333331</v>
      </c>
      <c r="C32" s="38">
        <f t="shared" si="1"/>
        <v>4.5332267490774625E-2</v>
      </c>
      <c r="D32" s="40">
        <v>0.16520000000000001</v>
      </c>
    </row>
    <row r="33" spans="1:4">
      <c r="A33" s="41">
        <v>15</v>
      </c>
      <c r="B33" s="42">
        <f t="shared" si="0"/>
        <v>0.8883333333333332</v>
      </c>
      <c r="C33" s="42">
        <f t="shared" si="1"/>
        <v>4.3112432253421491E-2</v>
      </c>
      <c r="D33" s="43">
        <v>0.16520000000000001</v>
      </c>
    </row>
    <row r="36" spans="1:4" ht="30">
      <c r="A36" s="36" t="s">
        <v>66</v>
      </c>
      <c r="B36" s="36" t="s">
        <v>58</v>
      </c>
      <c r="C36" s="36" t="s">
        <v>67</v>
      </c>
      <c r="D36" s="37" t="s">
        <v>68</v>
      </c>
    </row>
    <row r="37" spans="1:4">
      <c r="A37" s="10">
        <v>7.4539885662457639</v>
      </c>
      <c r="B37" s="11">
        <f>0.087*A37-($B$3*1000)/($B$10^2)</f>
        <v>0.2318303385967147</v>
      </c>
      <c r="C37" s="11">
        <f>$F$9/(8760*$F$2*1000*B37)</f>
        <v>0.16519930429990817</v>
      </c>
      <c r="D37" s="7">
        <v>0.16520000000000001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Zadatak 1</vt:lpstr>
      <vt:lpstr>Zadatak 2</vt:lpstr>
      <vt:lpstr>Zadatak 2 mod</vt:lpstr>
      <vt:lpstr>Zadatak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student</cp:lastModifiedBy>
  <dcterms:created xsi:type="dcterms:W3CDTF">2021-06-08T06:18:54Z</dcterms:created>
  <dcterms:modified xsi:type="dcterms:W3CDTF">2021-06-08T08:31:42Z</dcterms:modified>
</cp:coreProperties>
</file>