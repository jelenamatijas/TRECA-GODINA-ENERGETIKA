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activeTab="1"/>
  </bookViews>
  <sheets>
    <sheet name="PV modul" sheetId="1" r:id="rId1"/>
    <sheet name="Ekonomski proračun" sheetId="2" r:id="rId2"/>
    <sheet name="Sheet3" sheetId="3" r:id="rId3"/>
  </sheets>
  <definedNames>
    <definedName name="solver_adj" localSheetId="0" hidden="1">'PV modul'!$E$23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'PV modul'!$M$23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10</definedName>
  </definedNames>
  <calcPr calcId="125725"/>
</workbook>
</file>

<file path=xl/calcChain.xml><?xml version="1.0" encoding="utf-8"?>
<calcChain xmlns="http://schemas.openxmlformats.org/spreadsheetml/2006/main">
  <c r="L26" i="2"/>
  <c r="L25"/>
  <c r="L24"/>
  <c r="L23"/>
  <c r="L22"/>
  <c r="L21"/>
  <c r="L20"/>
  <c r="L19"/>
  <c r="L18"/>
  <c r="L17"/>
  <c r="F27"/>
  <c r="G27"/>
  <c r="H27"/>
  <c r="I27"/>
  <c r="J27"/>
  <c r="K27"/>
  <c r="K15"/>
  <c r="L15" s="1"/>
  <c r="M15" s="1"/>
  <c r="J18"/>
  <c r="J19"/>
  <c r="J20"/>
  <c r="J21"/>
  <c r="J22"/>
  <c r="J23"/>
  <c r="J24"/>
  <c r="J25"/>
  <c r="J26"/>
  <c r="J17"/>
  <c r="G18"/>
  <c r="G22"/>
  <c r="G26"/>
  <c r="F18"/>
  <c r="F19" s="1"/>
  <c r="F20" s="1"/>
  <c r="F21" s="1"/>
  <c r="F22" s="1"/>
  <c r="F23" s="1"/>
  <c r="F24" s="1"/>
  <c r="F25" s="1"/>
  <c r="F26" s="1"/>
  <c r="F17"/>
  <c r="G17" s="1"/>
  <c r="I16"/>
  <c r="F16"/>
  <c r="G16" s="1"/>
  <c r="I15"/>
  <c r="F15"/>
  <c r="G15" s="1"/>
  <c r="K14"/>
  <c r="L14" s="1"/>
  <c r="M14" s="1"/>
  <c r="I14"/>
  <c r="F14"/>
  <c r="G14" s="1"/>
  <c r="K13"/>
  <c r="L13" s="1"/>
  <c r="M13" s="1"/>
  <c r="I13"/>
  <c r="F13"/>
  <c r="G13" s="1"/>
  <c r="M12"/>
  <c r="L12"/>
  <c r="K12"/>
  <c r="I12"/>
  <c r="F12"/>
  <c r="G12" s="1"/>
  <c r="K11"/>
  <c r="L11"/>
  <c r="M11" s="1"/>
  <c r="I11"/>
  <c r="F11"/>
  <c r="K10"/>
  <c r="L10" s="1"/>
  <c r="M10" s="1"/>
  <c r="I10"/>
  <c r="F10"/>
  <c r="G10" s="1"/>
  <c r="K9"/>
  <c r="L9" s="1"/>
  <c r="M9" s="1"/>
  <c r="I9"/>
  <c r="F9"/>
  <c r="G9" s="1"/>
  <c r="K8"/>
  <c r="L8"/>
  <c r="M8" s="1"/>
  <c r="I8"/>
  <c r="F8"/>
  <c r="G8" s="1"/>
  <c r="K7"/>
  <c r="L7" s="1"/>
  <c r="M7" s="1"/>
  <c r="I7"/>
  <c r="F7"/>
  <c r="G7" s="1"/>
  <c r="M6"/>
  <c r="L6"/>
  <c r="K6"/>
  <c r="I6"/>
  <c r="F6"/>
  <c r="M5"/>
  <c r="L5"/>
  <c r="K5"/>
  <c r="I5"/>
  <c r="H5"/>
  <c r="J5" s="1"/>
  <c r="H6"/>
  <c r="H7"/>
  <c r="H8"/>
  <c r="H9"/>
  <c r="J9" s="1"/>
  <c r="H10"/>
  <c r="H11"/>
  <c r="H12"/>
  <c r="H13"/>
  <c r="J13" s="1"/>
  <c r="H14"/>
  <c r="H15"/>
  <c r="H16"/>
  <c r="F5"/>
  <c r="G5" s="1"/>
  <c r="M4"/>
  <c r="L4"/>
  <c r="K4"/>
  <c r="G6"/>
  <c r="G11"/>
  <c r="J6"/>
  <c r="J7"/>
  <c r="J8"/>
  <c r="J10"/>
  <c r="J11"/>
  <c r="J12"/>
  <c r="J14"/>
  <c r="J15"/>
  <c r="J16"/>
  <c r="J4"/>
  <c r="I4"/>
  <c r="H4"/>
  <c r="G4"/>
  <c r="F4"/>
  <c r="M3"/>
  <c r="L3"/>
  <c r="K3"/>
  <c r="J3"/>
  <c r="I3"/>
  <c r="H3"/>
  <c r="G3"/>
  <c r="F3"/>
  <c r="M2"/>
  <c r="L2"/>
  <c r="K2"/>
  <c r="J2"/>
  <c r="I2"/>
  <c r="H2"/>
  <c r="G2"/>
  <c r="F2"/>
  <c r="B9"/>
  <c r="B8"/>
  <c r="B7"/>
  <c r="G23" i="1"/>
  <c r="F23"/>
  <c r="M3"/>
  <c r="M4"/>
  <c r="M5"/>
  <c r="M6"/>
  <c r="M7"/>
  <c r="M8"/>
  <c r="M9"/>
  <c r="M10"/>
  <c r="M11"/>
  <c r="M12"/>
  <c r="M13"/>
  <c r="M14"/>
  <c r="M2"/>
  <c r="L3"/>
  <c r="L4"/>
  <c r="L5"/>
  <c r="L6"/>
  <c r="L7"/>
  <c r="L8"/>
  <c r="L9"/>
  <c r="L10"/>
  <c r="L11"/>
  <c r="L12"/>
  <c r="L13"/>
  <c r="L14"/>
  <c r="L2"/>
  <c r="G19"/>
  <c r="F19"/>
  <c r="K3"/>
  <c r="K4"/>
  <c r="K5"/>
  <c r="K6"/>
  <c r="K7"/>
  <c r="K8"/>
  <c r="K9"/>
  <c r="K10"/>
  <c r="K11"/>
  <c r="K12"/>
  <c r="K13"/>
  <c r="K14"/>
  <c r="K2"/>
  <c r="J3"/>
  <c r="J4"/>
  <c r="J5"/>
  <c r="J6"/>
  <c r="J7"/>
  <c r="J8"/>
  <c r="J9"/>
  <c r="J10"/>
  <c r="J11"/>
  <c r="J12"/>
  <c r="J13"/>
  <c r="I3"/>
  <c r="I4"/>
  <c r="I5"/>
  <c r="I6"/>
  <c r="I7"/>
  <c r="I8"/>
  <c r="I9"/>
  <c r="I10"/>
  <c r="I11"/>
  <c r="I12"/>
  <c r="I13"/>
  <c r="F14"/>
  <c r="G14"/>
  <c r="H3"/>
  <c r="H4"/>
  <c r="H5"/>
  <c r="H6"/>
  <c r="H7"/>
  <c r="H8"/>
  <c r="H9"/>
  <c r="H10"/>
  <c r="H11"/>
  <c r="H12"/>
  <c r="H13"/>
  <c r="G3"/>
  <c r="G4"/>
  <c r="G5"/>
  <c r="G6"/>
  <c r="G7"/>
  <c r="G8"/>
  <c r="G9"/>
  <c r="G10"/>
  <c r="G11"/>
  <c r="G12"/>
  <c r="G13"/>
  <c r="G2"/>
  <c r="F3"/>
  <c r="F4"/>
  <c r="F5"/>
  <c r="F6"/>
  <c r="F7"/>
  <c r="F8"/>
  <c r="F9"/>
  <c r="F10"/>
  <c r="F11"/>
  <c r="F12"/>
  <c r="F13"/>
  <c r="F2"/>
  <c r="H2" s="1"/>
  <c r="I2" s="1"/>
  <c r="J2" s="1"/>
  <c r="L27" i="2" l="1"/>
  <c r="K16"/>
  <c r="G19"/>
  <c r="G24"/>
  <c r="G20"/>
  <c r="G23"/>
  <c r="G25"/>
  <c r="G21"/>
  <c r="H23" i="1"/>
  <c r="I23" s="1"/>
  <c r="J23" s="1"/>
  <c r="K23" s="1"/>
  <c r="H19"/>
  <c r="I19" s="1"/>
  <c r="J19" s="1"/>
  <c r="K19" s="1"/>
  <c r="H14"/>
  <c r="I14" s="1"/>
  <c r="J14" s="1"/>
  <c r="L16" i="2" l="1"/>
  <c r="M16" s="1"/>
  <c r="K17"/>
  <c r="L23" i="1"/>
  <c r="M23"/>
  <c r="M17" i="2" l="1"/>
  <c r="K18"/>
  <c r="M18" l="1"/>
  <c r="K19"/>
  <c r="M19" l="1"/>
  <c r="K20"/>
  <c r="K21" l="1"/>
  <c r="M20"/>
  <c r="M21" l="1"/>
  <c r="K22"/>
  <c r="M22" l="1"/>
  <c r="K23"/>
  <c r="M23" l="1"/>
  <c r="K24"/>
  <c r="K25" l="1"/>
  <c r="M24"/>
  <c r="M27" l="1"/>
  <c r="M25"/>
  <c r="K26"/>
  <c r="M26" s="1"/>
</calcChain>
</file>

<file path=xl/sharedStrings.xml><?xml version="1.0" encoding="utf-8"?>
<sst xmlns="http://schemas.openxmlformats.org/spreadsheetml/2006/main" count="66" uniqueCount="43">
  <si>
    <t>Broj ćelija</t>
  </si>
  <si>
    <t>Paralelna otpornost</t>
  </si>
  <si>
    <t>Serijska otpornost</t>
  </si>
  <si>
    <t>Inverzna struja zasićenja</t>
  </si>
  <si>
    <t>Struja kratkog spoja</t>
  </si>
  <si>
    <t>Ω</t>
  </si>
  <si>
    <t>A</t>
  </si>
  <si>
    <t>Ud</t>
  </si>
  <si>
    <t>Id</t>
  </si>
  <si>
    <t>I</t>
  </si>
  <si>
    <t>U</t>
  </si>
  <si>
    <t>Ip</t>
  </si>
  <si>
    <t>Upv</t>
  </si>
  <si>
    <t>P</t>
  </si>
  <si>
    <t>R</t>
  </si>
  <si>
    <t>Ir</t>
  </si>
  <si>
    <t>Kapitalni troškovi</t>
  </si>
  <si>
    <t>Snaga elektrane</t>
  </si>
  <si>
    <t>Eksploatacija i održavanje</t>
  </si>
  <si>
    <t>Rok otplate kredita</t>
  </si>
  <si>
    <t>Kamatna stopa</t>
  </si>
  <si>
    <t>Pad proizvodnje</t>
  </si>
  <si>
    <t>Osnovna investicija</t>
  </si>
  <si>
    <t>KM/kWh</t>
  </si>
  <si>
    <t>kW</t>
  </si>
  <si>
    <t>Rata kredita</t>
  </si>
  <si>
    <t xml:space="preserve">KM </t>
  </si>
  <si>
    <t>KM</t>
  </si>
  <si>
    <t>godina</t>
  </si>
  <si>
    <t>Godina</t>
  </si>
  <si>
    <t>Godišnja proizvodnja</t>
  </si>
  <si>
    <t>Zagarantovana cijena</t>
  </si>
  <si>
    <t>kWh/god</t>
  </si>
  <si>
    <t>Dug</t>
  </si>
  <si>
    <t>Kamata</t>
  </si>
  <si>
    <t>Rata</t>
  </si>
  <si>
    <t>Otplata</t>
  </si>
  <si>
    <t>Rashodi</t>
  </si>
  <si>
    <t>Prihodi</t>
  </si>
  <si>
    <t>Proizvedena energija</t>
  </si>
  <si>
    <t>Zarada</t>
  </si>
  <si>
    <t>Sume:</t>
  </si>
  <si>
    <t>Tržišna cijena</t>
  </si>
</sst>
</file>

<file path=xl/styles.xml><?xml version="1.0" encoding="utf-8"?>
<styleSheet xmlns="http://schemas.openxmlformats.org/spreadsheetml/2006/main">
  <numFmts count="4">
    <numFmt numFmtId="8" formatCode="#,##0.00\ &quot;KM&quot;;[Red]\-#,##0.00\ &quot;KM&quot;"/>
    <numFmt numFmtId="165" formatCode="0.000"/>
    <numFmt numFmtId="166" formatCode="0.0000"/>
    <numFmt numFmtId="182" formatCode="#,##0.00\ &quot;KM&quot;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/>
    <xf numFmtId="0" fontId="0" fillId="2" borderId="0" xfId="0" applyFill="1"/>
    <xf numFmtId="165" fontId="0" fillId="4" borderId="0" xfId="0" applyNumberFormat="1" applyFill="1"/>
    <xf numFmtId="0" fontId="0" fillId="4" borderId="0" xfId="0" applyFill="1"/>
    <xf numFmtId="0" fontId="2" fillId="4" borderId="0" xfId="0" applyFont="1" applyFill="1"/>
    <xf numFmtId="166" fontId="0" fillId="4" borderId="0" xfId="0" applyNumberFormat="1" applyFill="1"/>
    <xf numFmtId="0" fontId="1" fillId="5" borderId="0" xfId="0" applyFont="1" applyFill="1"/>
    <xf numFmtId="2" fontId="0" fillId="4" borderId="0" xfId="0" applyNumberFormat="1" applyFill="1"/>
    <xf numFmtId="10" fontId="0" fillId="4" borderId="0" xfId="0" applyNumberFormat="1" applyFill="1"/>
    <xf numFmtId="8" fontId="0" fillId="4" borderId="0" xfId="0" applyNumberFormat="1" applyFill="1"/>
    <xf numFmtId="182" fontId="0" fillId="4" borderId="0" xfId="0" applyNumberFormat="1" applyFill="1"/>
    <xf numFmtId="182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'PV modul'!$J$2:$J$14</c:f>
              <c:numCache>
                <c:formatCode>0.0000</c:formatCode>
                <c:ptCount val="13"/>
                <c:pt idx="0">
                  <c:v>1.1999989810870804E-5</c:v>
                </c:pt>
                <c:pt idx="1">
                  <c:v>0.57659090950615788</c:v>
                </c:pt>
                <c:pt idx="2">
                  <c:v>1.1770454576653229</c:v>
                </c:pt>
                <c:pt idx="3">
                  <c:v>1.7775000220349808</c:v>
                </c:pt>
                <c:pt idx="4">
                  <c:v>2.3779546997748597</c:v>
                </c:pt>
                <c:pt idx="5">
                  <c:v>2.9784101703843282</c:v>
                </c:pt>
                <c:pt idx="6">
                  <c:v>3.5788711860318121</c:v>
                </c:pt>
                <c:pt idx="7">
                  <c:v>4.1793709816338023</c:v>
                </c:pt>
                <c:pt idx="8">
                  <c:v>4.7801419899609616</c:v>
                </c:pt>
                <c:pt idx="9">
                  <c:v>5.382809760242357</c:v>
                </c:pt>
                <c:pt idx="10">
                  <c:v>5.9987427853483029</c:v>
                </c:pt>
                <c:pt idx="11">
                  <c:v>6.7074481191603681</c:v>
                </c:pt>
                <c:pt idx="12">
                  <c:v>6.9198456740287098</c:v>
                </c:pt>
              </c:numCache>
            </c:numRef>
          </c:xVal>
          <c:yVal>
            <c:numRef>
              <c:f>'PV modul'!$H$2:$H$14</c:f>
              <c:numCache>
                <c:formatCode>0.0000</c:formatCode>
                <c:ptCount val="13"/>
                <c:pt idx="0">
                  <c:v>3.3974260403168275</c:v>
                </c:pt>
                <c:pt idx="1">
                  <c:v>3.390151508230701</c:v>
                </c:pt>
                <c:pt idx="2">
                  <c:v>3.3825757055779531</c:v>
                </c:pt>
                <c:pt idx="3">
                  <c:v>3.37499963275032</c:v>
                </c:pt>
                <c:pt idx="4">
                  <c:v>3.3674216704190028</c:v>
                </c:pt>
                <c:pt idx="5">
                  <c:v>3.3598304935945325</c:v>
                </c:pt>
                <c:pt idx="6">
                  <c:v>3.3521468994697954</c:v>
                </c:pt>
                <c:pt idx="7">
                  <c:v>3.34381697276996</c:v>
                </c:pt>
                <c:pt idx="8">
                  <c:v>3.3309668339839678</c:v>
                </c:pt>
                <c:pt idx="9">
                  <c:v>3.2865039959607261</c:v>
                </c:pt>
                <c:pt idx="10">
                  <c:v>3.0209535775282794</c:v>
                </c:pt>
                <c:pt idx="11">
                  <c:v>1.2091980139938616</c:v>
                </c:pt>
                <c:pt idx="12">
                  <c:v>5.9754732338601624E-7</c:v>
                </c:pt>
              </c:numCache>
            </c:numRef>
          </c:yVal>
        </c:ser>
        <c:ser>
          <c:idx val="1"/>
          <c:order val="1"/>
          <c:marker>
            <c:symbol val="none"/>
          </c:marker>
          <c:yVal>
            <c:numRef>
              <c:f>'PV modul'!$L$2:$L$14</c:f>
              <c:numCache>
                <c:formatCode>0.0000</c:formatCode>
                <c:ptCount val="13"/>
                <c:pt idx="0">
                  <c:v>1.1999989810870804E-6</c:v>
                </c:pt>
                <c:pt idx="1">
                  <c:v>5.7659090950615791E-2</c:v>
                </c:pt>
                <c:pt idx="2">
                  <c:v>0.11770454576653229</c:v>
                </c:pt>
                <c:pt idx="3">
                  <c:v>0.17775000220349807</c:v>
                </c:pt>
                <c:pt idx="4">
                  <c:v>0.23779546997748596</c:v>
                </c:pt>
                <c:pt idx="5">
                  <c:v>0.2978410170384328</c:v>
                </c:pt>
                <c:pt idx="6">
                  <c:v>0.35788711860318123</c:v>
                </c:pt>
                <c:pt idx="7">
                  <c:v>0.41793709816338021</c:v>
                </c:pt>
                <c:pt idx="8">
                  <c:v>0.47801419899609615</c:v>
                </c:pt>
                <c:pt idx="9">
                  <c:v>0.53828097602423575</c:v>
                </c:pt>
                <c:pt idx="10">
                  <c:v>0.59987427853483033</c:v>
                </c:pt>
                <c:pt idx="11">
                  <c:v>0.67074481191603685</c:v>
                </c:pt>
                <c:pt idx="12">
                  <c:v>0.69198456740287095</c:v>
                </c:pt>
              </c:numCache>
            </c:numRef>
          </c:yVal>
        </c:ser>
        <c:axId val="70691456"/>
        <c:axId val="70689920"/>
      </c:scatterChart>
      <c:valAx>
        <c:axId val="70691456"/>
        <c:scaling>
          <c:orientation val="minMax"/>
        </c:scaling>
        <c:axPos val="b"/>
        <c:numFmt formatCode="0.0000" sourceLinked="1"/>
        <c:tickLblPos val="nextTo"/>
        <c:crossAx val="70689920"/>
        <c:crosses val="autoZero"/>
        <c:crossBetween val="midCat"/>
      </c:valAx>
      <c:valAx>
        <c:axId val="70689920"/>
        <c:scaling>
          <c:orientation val="minMax"/>
        </c:scaling>
        <c:axPos val="l"/>
        <c:majorGridlines/>
        <c:numFmt formatCode="0.0000" sourceLinked="1"/>
        <c:tickLblPos val="nextTo"/>
        <c:crossAx val="7069145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'PV modul'!$J$2:$J$14</c:f>
              <c:numCache>
                <c:formatCode>0.0000</c:formatCode>
                <c:ptCount val="13"/>
                <c:pt idx="0">
                  <c:v>1.1999989810870804E-5</c:v>
                </c:pt>
                <c:pt idx="1">
                  <c:v>0.57659090950615788</c:v>
                </c:pt>
                <c:pt idx="2">
                  <c:v>1.1770454576653229</c:v>
                </c:pt>
                <c:pt idx="3">
                  <c:v>1.7775000220349808</c:v>
                </c:pt>
                <c:pt idx="4">
                  <c:v>2.3779546997748597</c:v>
                </c:pt>
                <c:pt idx="5">
                  <c:v>2.9784101703843282</c:v>
                </c:pt>
                <c:pt idx="6">
                  <c:v>3.5788711860318121</c:v>
                </c:pt>
                <c:pt idx="7">
                  <c:v>4.1793709816338023</c:v>
                </c:pt>
                <c:pt idx="8">
                  <c:v>4.7801419899609616</c:v>
                </c:pt>
                <c:pt idx="9">
                  <c:v>5.382809760242357</c:v>
                </c:pt>
                <c:pt idx="10">
                  <c:v>5.9987427853483029</c:v>
                </c:pt>
                <c:pt idx="11">
                  <c:v>6.7074481191603681</c:v>
                </c:pt>
                <c:pt idx="12">
                  <c:v>6.9198456740287098</c:v>
                </c:pt>
              </c:numCache>
            </c:numRef>
          </c:xVal>
          <c:yVal>
            <c:numRef>
              <c:f>'PV modul'!$K$2:$K$14</c:f>
              <c:numCache>
                <c:formatCode>0.0000</c:formatCode>
                <c:ptCount val="13"/>
                <c:pt idx="0">
                  <c:v>4.076907786698907E-5</c:v>
                </c:pt>
                <c:pt idx="1">
                  <c:v>1.9547305414944127</c:v>
                </c:pt>
                <c:pt idx="2">
                  <c:v>3.9814453694596041</c:v>
                </c:pt>
                <c:pt idx="3">
                  <c:v>5.9990619215817462</c:v>
                </c:pt>
                <c:pt idx="4">
                  <c:v>8.0075761872965767</c:v>
                </c:pt>
                <c:pt idx="5">
                  <c:v>10.006953312889353</c:v>
                </c:pt>
                <c:pt idx="6">
                  <c:v>11.996901949858328</c:v>
                </c:pt>
                <c:pt idx="7">
                  <c:v>13.975051623889357</c:v>
                </c:pt>
                <c:pt idx="8">
                  <c:v>15.922494430294087</c:v>
                </c:pt>
                <c:pt idx="9">
                  <c:v>17.690625786532905</c:v>
                </c:pt>
                <c:pt idx="10">
                  <c:v>18.12192347806991</c:v>
                </c:pt>
                <c:pt idx="11">
                  <c:v>8.1106329446555794</c:v>
                </c:pt>
                <c:pt idx="12">
                  <c:v>4.1349352607601591E-6</c:v>
                </c:pt>
              </c:numCache>
            </c:numRef>
          </c:yVal>
        </c:ser>
        <c:axId val="172664704"/>
        <c:axId val="77089408"/>
      </c:scatterChart>
      <c:valAx>
        <c:axId val="172664704"/>
        <c:scaling>
          <c:orientation val="minMax"/>
        </c:scaling>
        <c:axPos val="b"/>
        <c:numFmt formatCode="0.0000" sourceLinked="1"/>
        <c:tickLblPos val="nextTo"/>
        <c:crossAx val="77089408"/>
        <c:crosses val="autoZero"/>
        <c:crossBetween val="midCat"/>
      </c:valAx>
      <c:valAx>
        <c:axId val="77089408"/>
        <c:scaling>
          <c:orientation val="minMax"/>
        </c:scaling>
        <c:axPos val="l"/>
        <c:majorGridlines/>
        <c:numFmt formatCode="0.0000" sourceLinked="1"/>
        <c:tickLblPos val="nextTo"/>
        <c:crossAx val="17266470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142875</xdr:colOff>
      <xdr:row>0</xdr:row>
      <xdr:rowOff>95250</xdr:rowOff>
    </xdr:from>
    <xdr:to>
      <xdr:col>21</xdr:col>
      <xdr:colOff>447675</xdr:colOff>
      <xdr:row>14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180975</xdr:colOff>
      <xdr:row>15</xdr:row>
      <xdr:rowOff>180975</xdr:rowOff>
    </xdr:from>
    <xdr:to>
      <xdr:col>21</xdr:col>
      <xdr:colOff>485775</xdr:colOff>
      <xdr:row>30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workbookViewId="0">
      <selection activeCell="I28" sqref="I28"/>
    </sheetView>
  </sheetViews>
  <sheetFormatPr defaultRowHeight="15"/>
  <cols>
    <col min="1" max="1" width="25" customWidth="1"/>
    <col min="5" max="5" width="9.5703125" bestFit="1" customWidth="1"/>
    <col min="6" max="6" width="11" bestFit="1" customWidth="1"/>
    <col min="11" max="11" width="7.5703125" bestFit="1" customWidth="1"/>
    <col min="13" max="13" width="13.7109375" bestFit="1" customWidth="1"/>
  </cols>
  <sheetData>
    <row r="1" spans="1:13">
      <c r="A1" s="1" t="s">
        <v>0</v>
      </c>
      <c r="B1" s="3">
        <v>12</v>
      </c>
      <c r="C1" s="4"/>
      <c r="E1" s="1" t="s">
        <v>7</v>
      </c>
      <c r="F1" s="1" t="s">
        <v>8</v>
      </c>
      <c r="G1" s="1" t="s">
        <v>11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14</v>
      </c>
    </row>
    <row r="2" spans="1:13">
      <c r="A2" s="1" t="s">
        <v>1</v>
      </c>
      <c r="B2" s="3">
        <v>6.6</v>
      </c>
      <c r="C2" s="5" t="s">
        <v>5</v>
      </c>
      <c r="E2" s="6">
        <v>1.6988130200735044E-2</v>
      </c>
      <c r="F2" s="6">
        <f>$B$4*(EXP(38.9*E2)-1)</f>
        <v>5.6184892961727115E-10</v>
      </c>
      <c r="G2" s="6">
        <f>E2/$B$2</f>
        <v>2.5739591213234914E-3</v>
      </c>
      <c r="H2" s="6">
        <f>$B$5-F2-G2</f>
        <v>3.3974260403168275</v>
      </c>
      <c r="I2" s="6">
        <f>E2-$B$3*H2</f>
        <v>9.999991509059003E-7</v>
      </c>
      <c r="J2" s="6">
        <f>I2*$B$1</f>
        <v>1.1999989810870804E-5</v>
      </c>
      <c r="K2" s="6">
        <f>J2*H2</f>
        <v>4.076907786698907E-5</v>
      </c>
      <c r="L2" s="6">
        <f>J2/$B$6</f>
        <v>1.1999989810870804E-6</v>
      </c>
      <c r="M2" s="6">
        <f>J2/H2</f>
        <v>3.5320827204090492E-6</v>
      </c>
    </row>
    <row r="3" spans="1:13">
      <c r="A3" s="1" t="s">
        <v>2</v>
      </c>
      <c r="B3" s="3">
        <v>5.0000000000000001E-3</v>
      </c>
      <c r="C3" s="5" t="s">
        <v>5</v>
      </c>
      <c r="E3" s="6">
        <v>6.5000000000000002E-2</v>
      </c>
      <c r="F3" s="6">
        <f t="shared" ref="F3:F13" si="0">$B$4*(EXP(38.9*E3)-1)</f>
        <v>6.9208139958593612E-9</v>
      </c>
      <c r="G3" s="6">
        <f t="shared" ref="G3:G13" si="1">E3/$B$2</f>
        <v>9.8484848484848495E-3</v>
      </c>
      <c r="H3" s="6">
        <f t="shared" ref="H3:H13" si="2">$B$5-F3-G3</f>
        <v>3.390151508230701</v>
      </c>
      <c r="I3" s="6">
        <f t="shared" ref="I3:I14" si="3">E3-$B$3*H3</f>
        <v>4.8049242458846494E-2</v>
      </c>
      <c r="J3" s="6">
        <f t="shared" ref="J3:J14" si="4">I3*$B$1</f>
        <v>0.57659090950615788</v>
      </c>
      <c r="K3" s="6">
        <f t="shared" ref="K3:K14" si="5">J3*H3</f>
        <v>1.9547305414944127</v>
      </c>
      <c r="L3" s="6">
        <f t="shared" ref="L3:L14" si="6">J3/$B$6</f>
        <v>5.7659090950615791E-2</v>
      </c>
      <c r="M3" s="6">
        <f t="shared" ref="M3:M14" si="7">J3/H3</f>
        <v>0.17007821276019522</v>
      </c>
    </row>
    <row r="4" spans="1:13">
      <c r="A4" s="1" t="s">
        <v>3</v>
      </c>
      <c r="B4" s="3">
        <v>6E-10</v>
      </c>
      <c r="C4" s="4" t="s">
        <v>6</v>
      </c>
      <c r="E4" s="6">
        <v>0.115</v>
      </c>
      <c r="F4" s="6">
        <f t="shared" si="0"/>
        <v>5.1997804337219781E-8</v>
      </c>
      <c r="G4" s="6">
        <f t="shared" si="1"/>
        <v>1.7424242424242425E-2</v>
      </c>
      <c r="H4" s="6">
        <f t="shared" si="2"/>
        <v>3.3825757055779531</v>
      </c>
      <c r="I4" s="6">
        <f t="shared" si="3"/>
        <v>9.8087121472110239E-2</v>
      </c>
      <c r="J4" s="6">
        <f t="shared" si="4"/>
        <v>1.1770454576653229</v>
      </c>
      <c r="K4" s="6">
        <f t="shared" si="5"/>
        <v>3.9814453694596041</v>
      </c>
      <c r="L4" s="6">
        <f t="shared" si="6"/>
        <v>0.11770454576653229</v>
      </c>
      <c r="M4" s="6">
        <f t="shared" si="7"/>
        <v>0.34797313057157747</v>
      </c>
    </row>
    <row r="5" spans="1:13">
      <c r="A5" s="1" t="s">
        <v>4</v>
      </c>
      <c r="B5" s="3">
        <v>3.4</v>
      </c>
      <c r="C5" s="4" t="s">
        <v>6</v>
      </c>
      <c r="E5" s="6">
        <v>0.16500000000000001</v>
      </c>
      <c r="F5" s="6">
        <f t="shared" si="0"/>
        <v>3.6724967991757169E-7</v>
      </c>
      <c r="G5" s="6">
        <f t="shared" si="1"/>
        <v>2.5000000000000001E-2</v>
      </c>
      <c r="H5" s="6">
        <f t="shared" si="2"/>
        <v>3.37499963275032</v>
      </c>
      <c r="I5" s="6">
        <f t="shared" si="3"/>
        <v>0.14812500183624841</v>
      </c>
      <c r="J5" s="6">
        <f t="shared" si="4"/>
        <v>1.7775000220349808</v>
      </c>
      <c r="K5" s="6">
        <f t="shared" si="5"/>
        <v>5.9990619215817462</v>
      </c>
      <c r="L5" s="6">
        <f t="shared" si="6"/>
        <v>0.17775000220349807</v>
      </c>
      <c r="M5" s="6">
        <f t="shared" si="7"/>
        <v>0.52666673050464263</v>
      </c>
    </row>
    <row r="6" spans="1:13">
      <c r="A6" s="1" t="s">
        <v>14</v>
      </c>
      <c r="B6" s="3">
        <v>10</v>
      </c>
      <c r="C6" s="4"/>
      <c r="E6" s="6">
        <v>0.215</v>
      </c>
      <c r="F6" s="6">
        <f t="shared" si="0"/>
        <v>2.5720052393352113E-6</v>
      </c>
      <c r="G6" s="6">
        <f t="shared" si="1"/>
        <v>3.2575757575757577E-2</v>
      </c>
      <c r="H6" s="6">
        <f t="shared" si="2"/>
        <v>3.3674216704190028</v>
      </c>
      <c r="I6" s="6">
        <f t="shared" si="3"/>
        <v>0.19816289164790499</v>
      </c>
      <c r="J6" s="6">
        <f t="shared" si="4"/>
        <v>2.3779546997748597</v>
      </c>
      <c r="K6" s="6">
        <f t="shared" si="5"/>
        <v>8.0075761872965767</v>
      </c>
      <c r="L6" s="6">
        <f t="shared" si="6"/>
        <v>0.23779546997748596</v>
      </c>
      <c r="M6" s="6">
        <f t="shared" si="7"/>
        <v>0.70616481466040304</v>
      </c>
    </row>
    <row r="7" spans="1:13">
      <c r="E7" s="6">
        <v>0.26500000000000001</v>
      </c>
      <c r="F7" s="6">
        <f t="shared" si="0"/>
        <v>1.7991253952239454E-5</v>
      </c>
      <c r="G7" s="6">
        <f t="shared" si="1"/>
        <v>4.0151515151515153E-2</v>
      </c>
      <c r="H7" s="6">
        <f t="shared" si="2"/>
        <v>3.3598304935945325</v>
      </c>
      <c r="I7" s="6">
        <f t="shared" si="3"/>
        <v>0.24820084753202734</v>
      </c>
      <c r="J7" s="6">
        <f t="shared" si="4"/>
        <v>2.9784101703843282</v>
      </c>
      <c r="K7" s="6">
        <f t="shared" si="5"/>
        <v>10.006953312889353</v>
      </c>
      <c r="L7" s="6">
        <f t="shared" si="6"/>
        <v>0.2978410170384328</v>
      </c>
      <c r="M7" s="6">
        <f t="shared" si="7"/>
        <v>0.88647631958297401</v>
      </c>
    </row>
    <row r="8" spans="1:13">
      <c r="E8" s="6">
        <v>0.315</v>
      </c>
      <c r="F8" s="6">
        <f t="shared" si="0"/>
        <v>1.2582780293148246E-4</v>
      </c>
      <c r="G8" s="6">
        <f t="shared" si="1"/>
        <v>4.7727272727272729E-2</v>
      </c>
      <c r="H8" s="6">
        <f t="shared" si="2"/>
        <v>3.3521468994697954</v>
      </c>
      <c r="I8" s="6">
        <f t="shared" si="3"/>
        <v>0.29823926550265101</v>
      </c>
      <c r="J8" s="6">
        <f t="shared" si="4"/>
        <v>3.5788711860318121</v>
      </c>
      <c r="K8" s="6">
        <f t="shared" si="5"/>
        <v>11.996901949858328</v>
      </c>
      <c r="L8" s="6">
        <f t="shared" si="6"/>
        <v>0.35788711860318123</v>
      </c>
      <c r="M8" s="6">
        <f t="shared" si="7"/>
        <v>1.067635546221998</v>
      </c>
    </row>
    <row r="9" spans="1:13">
      <c r="E9" s="6">
        <v>0.36499999999999999</v>
      </c>
      <c r="F9" s="6">
        <f t="shared" si="0"/>
        <v>8.7999692700953985E-4</v>
      </c>
      <c r="G9" s="6">
        <f t="shared" si="1"/>
        <v>5.5303030303030305E-2</v>
      </c>
      <c r="H9" s="6">
        <f t="shared" si="2"/>
        <v>3.34381697276996</v>
      </c>
      <c r="I9" s="6">
        <f t="shared" si="3"/>
        <v>0.34828091513615017</v>
      </c>
      <c r="J9" s="6">
        <f t="shared" si="4"/>
        <v>4.1793709816338023</v>
      </c>
      <c r="K9" s="6">
        <f t="shared" si="5"/>
        <v>13.975051623889357</v>
      </c>
      <c r="L9" s="6">
        <f t="shared" si="6"/>
        <v>0.41793709816338021</v>
      </c>
      <c r="M9" s="6">
        <f t="shared" si="7"/>
        <v>1.2498803061495569</v>
      </c>
    </row>
    <row r="10" spans="1:13">
      <c r="E10" s="6">
        <v>0.41499999999999998</v>
      </c>
      <c r="F10" s="6">
        <f t="shared" si="0"/>
        <v>6.1543781372441547E-3</v>
      </c>
      <c r="G10" s="6">
        <f t="shared" si="1"/>
        <v>6.2878787878787881E-2</v>
      </c>
      <c r="H10" s="6">
        <f t="shared" si="2"/>
        <v>3.3309668339839678</v>
      </c>
      <c r="I10" s="6">
        <f t="shared" si="3"/>
        <v>0.39834516583008012</v>
      </c>
      <c r="J10" s="6">
        <f t="shared" si="4"/>
        <v>4.7801419899609616</v>
      </c>
      <c r="K10" s="6">
        <f t="shared" si="5"/>
        <v>15.922494430294087</v>
      </c>
      <c r="L10" s="6">
        <f t="shared" si="6"/>
        <v>0.47801419899609615</v>
      </c>
      <c r="M10" s="6">
        <f t="shared" si="7"/>
        <v>1.4350614185622868</v>
      </c>
    </row>
    <row r="11" spans="1:13">
      <c r="E11" s="6">
        <v>0.46500000000000002</v>
      </c>
      <c r="F11" s="6">
        <f t="shared" si="0"/>
        <v>4.3041458584728312E-2</v>
      </c>
      <c r="G11" s="6">
        <f t="shared" si="1"/>
        <v>7.0454545454545464E-2</v>
      </c>
      <c r="H11" s="6">
        <f t="shared" si="2"/>
        <v>3.2865039959607261</v>
      </c>
      <c r="I11" s="6">
        <f t="shared" si="3"/>
        <v>0.44856748002019642</v>
      </c>
      <c r="J11" s="6">
        <f t="shared" si="4"/>
        <v>5.382809760242357</v>
      </c>
      <c r="K11" s="6">
        <f t="shared" si="5"/>
        <v>17.690625786532905</v>
      </c>
      <c r="L11" s="6">
        <f t="shared" si="6"/>
        <v>0.53828097602423575</v>
      </c>
      <c r="M11" s="6">
        <f t="shared" si="7"/>
        <v>1.637852796423827</v>
      </c>
    </row>
    <row r="12" spans="1:13">
      <c r="E12" s="6">
        <v>0.51500000000000001</v>
      </c>
      <c r="F12" s="6">
        <f t="shared" si="0"/>
        <v>0.30101611944141737</v>
      </c>
      <c r="G12" s="6">
        <f t="shared" si="1"/>
        <v>7.8030303030303033E-2</v>
      </c>
      <c r="H12" s="6">
        <f t="shared" si="2"/>
        <v>3.0209535775282794</v>
      </c>
      <c r="I12" s="6">
        <f t="shared" si="3"/>
        <v>0.49989523211235859</v>
      </c>
      <c r="J12" s="6">
        <f t="shared" si="4"/>
        <v>5.9987427853483029</v>
      </c>
      <c r="K12" s="6">
        <f t="shared" si="5"/>
        <v>18.12192347806991</v>
      </c>
      <c r="L12" s="6">
        <f t="shared" si="6"/>
        <v>0.59987427853483033</v>
      </c>
      <c r="M12" s="6">
        <f t="shared" si="7"/>
        <v>1.9857116739464853</v>
      </c>
    </row>
    <row r="13" spans="1:13">
      <c r="E13" s="6">
        <v>0.56499999999999995</v>
      </c>
      <c r="F13" s="6">
        <f t="shared" si="0"/>
        <v>2.1051959254000776</v>
      </c>
      <c r="G13" s="6">
        <f t="shared" si="1"/>
        <v>8.5606060606060602E-2</v>
      </c>
      <c r="H13" s="6">
        <f t="shared" si="2"/>
        <v>1.2091980139938616</v>
      </c>
      <c r="I13" s="6">
        <f t="shared" si="3"/>
        <v>0.55895400993003064</v>
      </c>
      <c r="J13" s="6">
        <f t="shared" si="4"/>
        <v>6.7074481191603681</v>
      </c>
      <c r="K13" s="6">
        <f t="shared" si="5"/>
        <v>8.1106329446555794</v>
      </c>
      <c r="L13" s="6">
        <f t="shared" si="6"/>
        <v>0.67074481191603685</v>
      </c>
      <c r="M13" s="6">
        <f t="shared" si="7"/>
        <v>5.5470221101392063</v>
      </c>
    </row>
    <row r="14" spans="1:13">
      <c r="E14" s="6">
        <v>0.57665380915679576</v>
      </c>
      <c r="F14" s="6">
        <f>$B$4*(EXP(38.9*E14)-1)</f>
        <v>3.3126276131864953</v>
      </c>
      <c r="G14" s="6">
        <f>E14/$B$2</f>
        <v>8.737178926618118E-2</v>
      </c>
      <c r="H14" s="6">
        <f>$B$5-F14-G14</f>
        <v>5.9754732338601624E-7</v>
      </c>
      <c r="I14" s="6">
        <f t="shared" si="3"/>
        <v>0.57665380616905915</v>
      </c>
      <c r="J14" s="6">
        <f t="shared" si="4"/>
        <v>6.9198456740287098</v>
      </c>
      <c r="K14" s="6">
        <f t="shared" si="5"/>
        <v>4.1349352607601591E-6</v>
      </c>
      <c r="L14" s="6">
        <f t="shared" si="6"/>
        <v>0.69198456740287095</v>
      </c>
      <c r="M14" s="6">
        <f t="shared" si="7"/>
        <v>11580414.476325052</v>
      </c>
    </row>
    <row r="18" spans="5:13">
      <c r="E18" s="1" t="s">
        <v>7</v>
      </c>
      <c r="F18" s="1" t="s">
        <v>8</v>
      </c>
      <c r="G18" s="1" t="s">
        <v>11</v>
      </c>
      <c r="H18" s="1" t="s">
        <v>9</v>
      </c>
      <c r="I18" s="1" t="s">
        <v>10</v>
      </c>
      <c r="J18" s="1" t="s">
        <v>12</v>
      </c>
      <c r="K18" s="1" t="s">
        <v>13</v>
      </c>
    </row>
    <row r="19" spans="5:13">
      <c r="E19" s="6">
        <v>0.50018667320685284</v>
      </c>
      <c r="F19" s="6">
        <f>$B$4*(EXP(38.9*E19)-1)</f>
        <v>0.16917359929624154</v>
      </c>
      <c r="G19" s="6">
        <f>E19/$B$2</f>
        <v>7.5785859576795886E-2</v>
      </c>
      <c r="H19" s="6">
        <f>$B$5-F19-G19</f>
        <v>3.1550405411269629</v>
      </c>
      <c r="I19" s="6">
        <f>E19-$B$3*H19</f>
        <v>0.48441147050121802</v>
      </c>
      <c r="J19" s="6">
        <f>I19*$B$1</f>
        <v>5.8129376460146158</v>
      </c>
      <c r="K19" s="6">
        <f>J19*H19</f>
        <v>18.340053936219249</v>
      </c>
    </row>
    <row r="22" spans="5:13">
      <c r="E22" s="1" t="s">
        <v>7</v>
      </c>
      <c r="F22" s="1" t="s">
        <v>8</v>
      </c>
      <c r="G22" s="1" t="s">
        <v>11</v>
      </c>
      <c r="H22" s="1" t="s">
        <v>9</v>
      </c>
      <c r="I22" s="1" t="s">
        <v>10</v>
      </c>
      <c r="J22" s="1" t="s">
        <v>12</v>
      </c>
      <c r="K22" s="1" t="s">
        <v>13</v>
      </c>
      <c r="L22" s="1" t="s">
        <v>15</v>
      </c>
      <c r="M22" s="1" t="s">
        <v>14</v>
      </c>
    </row>
    <row r="23" spans="5:13">
      <c r="E23" s="6">
        <v>0.5707482059706469</v>
      </c>
      <c r="F23" s="6">
        <f>$B$4*(EXP(38.9*E23)-1)</f>
        <v>2.6327100457926162</v>
      </c>
      <c r="G23" s="6">
        <f>E23/$B$2</f>
        <v>8.647700090464347E-2</v>
      </c>
      <c r="H23" s="6">
        <f>$B$5-F23-G23</f>
        <v>0.68081295330274016</v>
      </c>
      <c r="I23" s="6">
        <f>E23-$B$3*H23</f>
        <v>0.56734414120413323</v>
      </c>
      <c r="J23" s="6">
        <f>I23*$B$1</f>
        <v>6.8081296944495993</v>
      </c>
      <c r="K23" s="6">
        <f>J23*H23</f>
        <v>4.6350628837463139</v>
      </c>
      <c r="L23" s="6">
        <f>J23/$B$6</f>
        <v>0.68081296944495995</v>
      </c>
      <c r="M23" s="6">
        <f>J23/H23</f>
        <v>10.000000237102125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>
      <selection activeCell="L27" sqref="L27"/>
    </sheetView>
  </sheetViews>
  <sheetFormatPr defaultRowHeight="15"/>
  <cols>
    <col min="1" max="1" width="24" bestFit="1" customWidth="1"/>
    <col min="2" max="2" width="11.42578125" bestFit="1" customWidth="1"/>
    <col min="6" max="6" width="13.5703125" bestFit="1" customWidth="1"/>
    <col min="7" max="7" width="12.42578125" bestFit="1" customWidth="1"/>
    <col min="8" max="8" width="13.5703125" bestFit="1" customWidth="1"/>
    <col min="9" max="9" width="12.42578125" bestFit="1" customWidth="1"/>
    <col min="10" max="10" width="13.5703125" bestFit="1" customWidth="1"/>
    <col min="11" max="11" width="20" bestFit="1" customWidth="1"/>
    <col min="12" max="12" width="13.5703125" bestFit="1" customWidth="1"/>
    <col min="13" max="13" width="12.42578125" bestFit="1" customWidth="1"/>
  </cols>
  <sheetData>
    <row r="1" spans="1:13">
      <c r="A1" s="1" t="s">
        <v>16</v>
      </c>
      <c r="B1" s="8">
        <v>2000</v>
      </c>
      <c r="C1" s="2" t="s">
        <v>23</v>
      </c>
      <c r="E1" s="1" t="s">
        <v>29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39</v>
      </c>
      <c r="L1" s="1" t="s">
        <v>38</v>
      </c>
      <c r="M1" s="1" t="s">
        <v>40</v>
      </c>
    </row>
    <row r="2" spans="1:13">
      <c r="A2" s="1" t="s">
        <v>17</v>
      </c>
      <c r="B2" s="8">
        <v>34</v>
      </c>
      <c r="C2" s="2" t="s">
        <v>24</v>
      </c>
      <c r="E2" s="4">
        <v>1</v>
      </c>
      <c r="F2" s="11">
        <f>$B$7</f>
        <v>68000</v>
      </c>
      <c r="G2" s="11">
        <f>$B$5*F2</f>
        <v>3808</v>
      </c>
      <c r="H2" s="11">
        <f>$B$9</f>
        <v>6819.6352774656061</v>
      </c>
      <c r="I2" s="11">
        <f>H2-G2</f>
        <v>3011.6352774656061</v>
      </c>
      <c r="J2" s="11">
        <f>H2+$B$8</f>
        <v>7499.6352774656061</v>
      </c>
      <c r="K2" s="8">
        <f>$B$10</f>
        <v>37456</v>
      </c>
      <c r="L2" s="11">
        <f>K2*$B$11</f>
        <v>8210.3552</v>
      </c>
      <c r="M2" s="11">
        <f>L2-J2</f>
        <v>710.71992253439385</v>
      </c>
    </row>
    <row r="3" spans="1:13">
      <c r="A3" s="1" t="s">
        <v>18</v>
      </c>
      <c r="B3" s="9">
        <v>0.01</v>
      </c>
      <c r="C3" s="2"/>
      <c r="E3" s="4">
        <v>2</v>
      </c>
      <c r="F3" s="11">
        <f>F2-I2</f>
        <v>64988.364722534396</v>
      </c>
      <c r="G3" s="11">
        <f>$B$5*F3</f>
        <v>3639.3484244619262</v>
      </c>
      <c r="H3" s="11">
        <f>$B$9</f>
        <v>6819.6352774656061</v>
      </c>
      <c r="I3" s="11">
        <f>H3-G3</f>
        <v>3180.2868530036799</v>
      </c>
      <c r="J3" s="11">
        <f>H3+$B$8</f>
        <v>7499.6352774656061</v>
      </c>
      <c r="K3" s="8">
        <f>K2-$B$6*K2</f>
        <v>37193.807999999997</v>
      </c>
      <c r="L3" s="11">
        <f>K3*$B$11</f>
        <v>8152.8827136</v>
      </c>
      <c r="M3" s="11">
        <f>L3-J3</f>
        <v>653.24743613439387</v>
      </c>
    </row>
    <row r="4" spans="1:13">
      <c r="A4" s="1" t="s">
        <v>19</v>
      </c>
      <c r="B4" s="8">
        <v>15</v>
      </c>
      <c r="C4" s="2" t="s">
        <v>28</v>
      </c>
      <c r="E4" s="4">
        <v>3</v>
      </c>
      <c r="F4" s="11">
        <f>F3-I3</f>
        <v>61808.077869530716</v>
      </c>
      <c r="G4" s="11">
        <f>$B$5*F4</f>
        <v>3461.2523606937202</v>
      </c>
      <c r="H4" s="11">
        <f>$B$9</f>
        <v>6819.6352774656061</v>
      </c>
      <c r="I4" s="11">
        <f>H4-G4</f>
        <v>3358.3829167718859</v>
      </c>
      <c r="J4" s="11">
        <f>H4+$B$8</f>
        <v>7499.6352774656061</v>
      </c>
      <c r="K4" s="8">
        <f>K3-$B$6*K3</f>
        <v>36933.451343999994</v>
      </c>
      <c r="L4" s="11">
        <f>K4*$B$11</f>
        <v>8095.8125346047991</v>
      </c>
      <c r="M4" s="11">
        <f>L4-J4</f>
        <v>596.17725713919299</v>
      </c>
    </row>
    <row r="5" spans="1:13">
      <c r="A5" s="1" t="s">
        <v>20</v>
      </c>
      <c r="B5" s="9">
        <v>5.6000000000000001E-2</v>
      </c>
      <c r="C5" s="2"/>
      <c r="E5" s="4">
        <v>4</v>
      </c>
      <c r="F5" s="11">
        <f>F4-I4</f>
        <v>58449.694952758829</v>
      </c>
      <c r="G5" s="11">
        <f t="shared" ref="G5:G26" si="0">$B$5*F5</f>
        <v>3273.1829173544943</v>
      </c>
      <c r="H5" s="11">
        <f t="shared" ref="H5:H16" si="1">$B$9</f>
        <v>6819.6352774656061</v>
      </c>
      <c r="I5" s="11">
        <f>H5-G5</f>
        <v>3546.4523601111118</v>
      </c>
      <c r="J5" s="11">
        <f t="shared" ref="J5:J16" si="2">H5+$B$8</f>
        <v>7499.6352774656061</v>
      </c>
      <c r="K5" s="8">
        <f>K4-$B$6*K4</f>
        <v>36674.917184591992</v>
      </c>
      <c r="L5" s="11">
        <f>K5*$B$11</f>
        <v>8039.1418468625652</v>
      </c>
      <c r="M5" s="11">
        <f>L5-J5</f>
        <v>539.50656939695909</v>
      </c>
    </row>
    <row r="6" spans="1:13">
      <c r="A6" s="1" t="s">
        <v>21</v>
      </c>
      <c r="B6" s="9">
        <v>7.0000000000000001E-3</v>
      </c>
      <c r="C6" s="2"/>
      <c r="E6" s="4">
        <v>5</v>
      </c>
      <c r="F6" s="11">
        <f>F5-I5</f>
        <v>54903.242592647715</v>
      </c>
      <c r="G6" s="11">
        <f t="shared" si="0"/>
        <v>3074.5815851882721</v>
      </c>
      <c r="H6" s="11">
        <f t="shared" si="1"/>
        <v>6819.6352774656061</v>
      </c>
      <c r="I6" s="11">
        <f>H6-G6</f>
        <v>3745.053692277334</v>
      </c>
      <c r="J6" s="11">
        <f t="shared" si="2"/>
        <v>7499.6352774656061</v>
      </c>
      <c r="K6" s="8">
        <f>K5-$B$6*K5</f>
        <v>36418.192764299849</v>
      </c>
      <c r="L6" s="11">
        <f>K6*$B$11</f>
        <v>7982.8678539345274</v>
      </c>
      <c r="M6" s="11">
        <f>L6-J6</f>
        <v>483.23257646892125</v>
      </c>
    </row>
    <row r="7" spans="1:13">
      <c r="A7" s="1" t="s">
        <v>22</v>
      </c>
      <c r="B7" s="4">
        <f>$B$1*$B$2</f>
        <v>68000</v>
      </c>
      <c r="C7" s="2" t="s">
        <v>27</v>
      </c>
      <c r="E7" s="4">
        <v>6</v>
      </c>
      <c r="F7" s="11">
        <f>F6-I6</f>
        <v>51158.188900370384</v>
      </c>
      <c r="G7" s="11">
        <f t="shared" si="0"/>
        <v>2864.8585784207417</v>
      </c>
      <c r="H7" s="11">
        <f t="shared" si="1"/>
        <v>6819.6352774656061</v>
      </c>
      <c r="I7" s="11">
        <f>H7-G7</f>
        <v>3954.7766990448645</v>
      </c>
      <c r="J7" s="11">
        <f t="shared" si="2"/>
        <v>7499.6352774656061</v>
      </c>
      <c r="K7" s="8">
        <f>K6-$B$6*K6</f>
        <v>36163.265414949747</v>
      </c>
      <c r="L7" s="11">
        <f>K7*$B$11</f>
        <v>7926.9877789569846</v>
      </c>
      <c r="M7" s="11">
        <f>L7-J7</f>
        <v>427.35250149137846</v>
      </c>
    </row>
    <row r="8" spans="1:13">
      <c r="A8" s="1" t="s">
        <v>18</v>
      </c>
      <c r="B8" s="4">
        <f>$B$3*$B$7</f>
        <v>680</v>
      </c>
      <c r="C8" s="2" t="s">
        <v>26</v>
      </c>
      <c r="E8" s="4">
        <v>7</v>
      </c>
      <c r="F8" s="11">
        <f>F7-I7</f>
        <v>47203.412201325518</v>
      </c>
      <c r="G8" s="11">
        <f t="shared" si="0"/>
        <v>2643.391083274229</v>
      </c>
      <c r="H8" s="11">
        <f t="shared" si="1"/>
        <v>6819.6352774656061</v>
      </c>
      <c r="I8" s="11">
        <f>H8-G8</f>
        <v>4176.2441941913767</v>
      </c>
      <c r="J8" s="11">
        <f t="shared" si="2"/>
        <v>7499.6352774656061</v>
      </c>
      <c r="K8" s="8">
        <f>K7-$B$6*K7</f>
        <v>35910.122557045099</v>
      </c>
      <c r="L8" s="11">
        <f>K8*$B$11</f>
        <v>7871.4988645042858</v>
      </c>
      <c r="M8" s="11">
        <f>L8-J8</f>
        <v>371.86358703867973</v>
      </c>
    </row>
    <row r="9" spans="1:13">
      <c r="A9" s="1" t="s">
        <v>25</v>
      </c>
      <c r="B9" s="10">
        <f>-PMT(B5,B4,B7)</f>
        <v>6819.6352774656061</v>
      </c>
      <c r="C9" s="2" t="s">
        <v>27</v>
      </c>
      <c r="E9" s="4">
        <v>8</v>
      </c>
      <c r="F9" s="11">
        <f>F8-I8</f>
        <v>43027.16800713414</v>
      </c>
      <c r="G9" s="11">
        <f t="shared" si="0"/>
        <v>2409.521408399512</v>
      </c>
      <c r="H9" s="11">
        <f t="shared" si="1"/>
        <v>6819.6352774656061</v>
      </c>
      <c r="I9" s="11">
        <f>H9-G9</f>
        <v>4410.1138690660937</v>
      </c>
      <c r="J9" s="11">
        <f t="shared" si="2"/>
        <v>7499.6352774656061</v>
      </c>
      <c r="K9" s="8">
        <f>K8-$B$6*K8</f>
        <v>35658.751699145781</v>
      </c>
      <c r="L9" s="11">
        <f>K9*$B$11</f>
        <v>7816.3983724527552</v>
      </c>
      <c r="M9" s="11">
        <f>L9-J9</f>
        <v>316.76309498714909</v>
      </c>
    </row>
    <row r="10" spans="1:13">
      <c r="A10" s="1" t="s">
        <v>30</v>
      </c>
      <c r="B10" s="4">
        <v>37456</v>
      </c>
      <c r="C10" s="2" t="s">
        <v>32</v>
      </c>
      <c r="E10" s="4">
        <v>9</v>
      </c>
      <c r="F10" s="11">
        <f>F9-I9</f>
        <v>38617.054138068044</v>
      </c>
      <c r="G10" s="11">
        <f t="shared" si="0"/>
        <v>2162.5550317318107</v>
      </c>
      <c r="H10" s="11">
        <f t="shared" si="1"/>
        <v>6819.6352774656061</v>
      </c>
      <c r="I10" s="11">
        <f>H10-G10</f>
        <v>4657.0802457337959</v>
      </c>
      <c r="J10" s="11">
        <f t="shared" si="2"/>
        <v>7499.6352774656061</v>
      </c>
      <c r="K10" s="8">
        <f>K9-$B$6*K9</f>
        <v>35409.140437251765</v>
      </c>
      <c r="L10" s="11">
        <f>K10*$B$11</f>
        <v>7761.6835838455872</v>
      </c>
      <c r="M10" s="11">
        <f>L10-J10</f>
        <v>262.04830637998111</v>
      </c>
    </row>
    <row r="11" spans="1:13">
      <c r="A11" s="1" t="s">
        <v>31</v>
      </c>
      <c r="B11" s="4">
        <v>0.21920000000000001</v>
      </c>
      <c r="C11" s="2" t="s">
        <v>23</v>
      </c>
      <c r="E11" s="4">
        <v>10</v>
      </c>
      <c r="F11" s="11">
        <f>F10-I10</f>
        <v>33959.973892334252</v>
      </c>
      <c r="G11" s="11">
        <f t="shared" si="0"/>
        <v>1901.7585379707182</v>
      </c>
      <c r="H11" s="11">
        <f t="shared" si="1"/>
        <v>6819.6352774656061</v>
      </c>
      <c r="I11" s="11">
        <f>H11-G11</f>
        <v>4917.8767394948882</v>
      </c>
      <c r="J11" s="11">
        <f t="shared" si="2"/>
        <v>7499.6352774656061</v>
      </c>
      <c r="K11" s="8">
        <f>K10-$B$6*K10</f>
        <v>35161.276454191</v>
      </c>
      <c r="L11" s="11">
        <f>K11*$B$11</f>
        <v>7707.3517987586674</v>
      </c>
      <c r="M11" s="11">
        <f>L11-J11</f>
        <v>207.71652129306131</v>
      </c>
    </row>
    <row r="12" spans="1:13">
      <c r="A12" s="1" t="s">
        <v>42</v>
      </c>
      <c r="B12" s="4">
        <v>8.9599999999999999E-2</v>
      </c>
      <c r="C12" s="2" t="s">
        <v>23</v>
      </c>
      <c r="E12" s="4">
        <v>11</v>
      </c>
      <c r="F12" s="11">
        <f>F11-I11</f>
        <v>29042.097152839364</v>
      </c>
      <c r="G12" s="11">
        <f t="shared" si="0"/>
        <v>1626.3574405590043</v>
      </c>
      <c r="H12" s="11">
        <f t="shared" si="1"/>
        <v>6819.6352774656061</v>
      </c>
      <c r="I12" s="11">
        <f>H12-G12</f>
        <v>5193.2778369066018</v>
      </c>
      <c r="J12" s="11">
        <f t="shared" si="2"/>
        <v>7499.6352774656061</v>
      </c>
      <c r="K12" s="8">
        <f>K11-$B$6*K11</f>
        <v>34915.147519011662</v>
      </c>
      <c r="L12" s="11">
        <f>K12*$B$11</f>
        <v>7653.4003361673567</v>
      </c>
      <c r="M12" s="11">
        <f>L12-J12</f>
        <v>153.7650587017506</v>
      </c>
    </row>
    <row r="13" spans="1:13">
      <c r="E13" s="4">
        <v>12</v>
      </c>
      <c r="F13" s="11">
        <f>F12-I12</f>
        <v>23848.819315932764</v>
      </c>
      <c r="G13" s="11">
        <f t="shared" si="0"/>
        <v>1335.5338816922349</v>
      </c>
      <c r="H13" s="11">
        <f t="shared" si="1"/>
        <v>6819.6352774656061</v>
      </c>
      <c r="I13" s="11">
        <f>H13-G13</f>
        <v>5484.1013957733712</v>
      </c>
      <c r="J13" s="11">
        <f t="shared" si="2"/>
        <v>7499.6352774656061</v>
      </c>
      <c r="K13" s="8">
        <f>K12-$B$6*K12</f>
        <v>34670.741486378582</v>
      </c>
      <c r="L13" s="11">
        <f>K13*$B$11</f>
        <v>7599.8265338141855</v>
      </c>
      <c r="M13" s="11">
        <f>L13-J13</f>
        <v>100.19125634857937</v>
      </c>
    </row>
    <row r="14" spans="1:13">
      <c r="E14" s="4">
        <v>13</v>
      </c>
      <c r="F14" s="11">
        <f>F13-I13</f>
        <v>18364.717920159394</v>
      </c>
      <c r="G14" s="11">
        <f t="shared" si="0"/>
        <v>1028.424203528926</v>
      </c>
      <c r="H14" s="11">
        <f t="shared" si="1"/>
        <v>6819.6352774656061</v>
      </c>
      <c r="I14" s="11">
        <f>H14-G14</f>
        <v>5791.2110739366799</v>
      </c>
      <c r="J14" s="11">
        <f t="shared" si="2"/>
        <v>7499.6352774656061</v>
      </c>
      <c r="K14" s="8">
        <f>K13-$B$6*K13</f>
        <v>34428.046295973931</v>
      </c>
      <c r="L14" s="11">
        <f>K14*$B$11</f>
        <v>7546.6277480774861</v>
      </c>
      <c r="M14" s="11">
        <f>L14-J14</f>
        <v>46.99247061187998</v>
      </c>
    </row>
    <row r="15" spans="1:13">
      <c r="E15" s="4">
        <v>14</v>
      </c>
      <c r="F15" s="11">
        <f>F14-I14</f>
        <v>12573.506846222714</v>
      </c>
      <c r="G15" s="11">
        <f t="shared" si="0"/>
        <v>704.11638338847195</v>
      </c>
      <c r="H15" s="11">
        <f t="shared" si="1"/>
        <v>6819.6352774656061</v>
      </c>
      <c r="I15" s="11">
        <f>H15-G15</f>
        <v>6115.5188940771341</v>
      </c>
      <c r="J15" s="11">
        <f t="shared" si="2"/>
        <v>7499.6352774656061</v>
      </c>
      <c r="K15" s="8">
        <f>K14-$B$6*K14</f>
        <v>34187.04997190211</v>
      </c>
      <c r="L15" s="11">
        <f>K15*$B$11</f>
        <v>7493.8013538409423</v>
      </c>
      <c r="M15" s="11">
        <f>L15-J15</f>
        <v>-5.8339236246638393</v>
      </c>
    </row>
    <row r="16" spans="1:13">
      <c r="E16" s="4">
        <v>15</v>
      </c>
      <c r="F16" s="11">
        <f>F15-I15</f>
        <v>6457.9879521455796</v>
      </c>
      <c r="G16" s="11">
        <f t="shared" si="0"/>
        <v>361.64732532015245</v>
      </c>
      <c r="H16" s="11">
        <f t="shared" si="1"/>
        <v>6819.6352774656061</v>
      </c>
      <c r="I16" s="11">
        <f>H16-G16</f>
        <v>6457.9879521454541</v>
      </c>
      <c r="J16" s="11">
        <f t="shared" si="2"/>
        <v>7499.6352774656061</v>
      </c>
      <c r="K16" s="8">
        <f>K15-$B$6*K15</f>
        <v>33947.740622098798</v>
      </c>
      <c r="L16" s="11">
        <f>K16*$B$11</f>
        <v>7441.3447443640571</v>
      </c>
      <c r="M16" s="11">
        <f>L16-J16</f>
        <v>-58.290533101549045</v>
      </c>
    </row>
    <row r="17" spans="5:13">
      <c r="E17" s="4">
        <v>16</v>
      </c>
      <c r="F17" s="11">
        <f>F16-I16</f>
        <v>1.255102688446641E-10</v>
      </c>
      <c r="G17" s="11">
        <f t="shared" si="0"/>
        <v>7.0285750553011892E-12</v>
      </c>
      <c r="H17" s="11">
        <v>0</v>
      </c>
      <c r="I17" s="11">
        <v>0</v>
      </c>
      <c r="J17" s="11">
        <f>$B$8</f>
        <v>680</v>
      </c>
      <c r="K17" s="8">
        <f>K16-$B$6*K16</f>
        <v>33710.106437744107</v>
      </c>
      <c r="L17" s="11">
        <f>K17*$B$12</f>
        <v>3020.4255368218719</v>
      </c>
      <c r="M17" s="11">
        <f>L17-J17</f>
        <v>2340.4255368218719</v>
      </c>
    </row>
    <row r="18" spans="5:13">
      <c r="E18" s="4">
        <v>17</v>
      </c>
      <c r="F18" s="11">
        <f t="shared" ref="F18:F26" si="3">F17-I17</f>
        <v>1.255102688446641E-10</v>
      </c>
      <c r="G18" s="11">
        <f t="shared" si="0"/>
        <v>7.0285750553011892E-12</v>
      </c>
      <c r="H18" s="11">
        <v>0</v>
      </c>
      <c r="I18" s="11">
        <v>0</v>
      </c>
      <c r="J18" s="11">
        <f t="shared" ref="J18:J26" si="4">$B$8</f>
        <v>680</v>
      </c>
      <c r="K18" s="8">
        <f>K17-$B$6*K17</f>
        <v>33474.135692679898</v>
      </c>
      <c r="L18" s="11">
        <f>K18*$B$12</f>
        <v>2999.2825580641188</v>
      </c>
      <c r="M18" s="11">
        <f>L18-J18</f>
        <v>2319.2825580641188</v>
      </c>
    </row>
    <row r="19" spans="5:13">
      <c r="E19" s="4">
        <v>18</v>
      </c>
      <c r="F19" s="11">
        <f t="shared" si="3"/>
        <v>1.255102688446641E-10</v>
      </c>
      <c r="G19" s="11">
        <f t="shared" si="0"/>
        <v>7.0285750553011892E-12</v>
      </c>
      <c r="H19" s="11">
        <v>0</v>
      </c>
      <c r="I19" s="11">
        <v>0</v>
      </c>
      <c r="J19" s="11">
        <f t="shared" si="4"/>
        <v>680</v>
      </c>
      <c r="K19" s="8">
        <f>K18-$B$6*K18</f>
        <v>33239.816742831135</v>
      </c>
      <c r="L19" s="11">
        <f>K19*$B$12</f>
        <v>2978.2875801576697</v>
      </c>
      <c r="M19" s="11">
        <f>L19-J19</f>
        <v>2298.2875801576697</v>
      </c>
    </row>
    <row r="20" spans="5:13">
      <c r="E20" s="4">
        <v>19</v>
      </c>
      <c r="F20" s="11">
        <f t="shared" si="3"/>
        <v>1.255102688446641E-10</v>
      </c>
      <c r="G20" s="11">
        <f t="shared" si="0"/>
        <v>7.0285750553011892E-12</v>
      </c>
      <c r="H20" s="11">
        <v>0</v>
      </c>
      <c r="I20" s="11">
        <v>0</v>
      </c>
      <c r="J20" s="11">
        <f t="shared" si="4"/>
        <v>680</v>
      </c>
      <c r="K20" s="8">
        <f>K19-$B$6*K19</f>
        <v>33007.13802563132</v>
      </c>
      <c r="L20" s="11">
        <f>K20*$B$12</f>
        <v>2957.4395670965664</v>
      </c>
      <c r="M20" s="11">
        <f>L20-J20</f>
        <v>2277.4395670965664</v>
      </c>
    </row>
    <row r="21" spans="5:13">
      <c r="E21" s="4">
        <v>20</v>
      </c>
      <c r="F21" s="11">
        <f t="shared" si="3"/>
        <v>1.255102688446641E-10</v>
      </c>
      <c r="G21" s="11">
        <f t="shared" si="0"/>
        <v>7.0285750553011892E-12</v>
      </c>
      <c r="H21" s="11">
        <v>0</v>
      </c>
      <c r="I21" s="11">
        <v>0</v>
      </c>
      <c r="J21" s="11">
        <f t="shared" si="4"/>
        <v>680</v>
      </c>
      <c r="K21" s="8">
        <f>K20-$B$6*K20</f>
        <v>32776.088059451904</v>
      </c>
      <c r="L21" s="11">
        <f>K21*$B$12</f>
        <v>2936.7374901268904</v>
      </c>
      <c r="M21" s="11">
        <f>L21-J21</f>
        <v>2256.7374901268904</v>
      </c>
    </row>
    <row r="22" spans="5:13">
      <c r="E22" s="4">
        <v>21</v>
      </c>
      <c r="F22" s="11">
        <f t="shared" si="3"/>
        <v>1.255102688446641E-10</v>
      </c>
      <c r="G22" s="11">
        <f t="shared" si="0"/>
        <v>7.0285750553011892E-12</v>
      </c>
      <c r="H22" s="11">
        <v>0</v>
      </c>
      <c r="I22" s="11">
        <v>0</v>
      </c>
      <c r="J22" s="11">
        <f t="shared" si="4"/>
        <v>680</v>
      </c>
      <c r="K22" s="8">
        <f>K21-$B$6*K21</f>
        <v>32546.655443035739</v>
      </c>
      <c r="L22" s="11">
        <f>K22*$B$12</f>
        <v>2916.1803276960022</v>
      </c>
      <c r="M22" s="11">
        <f>L22-J22</f>
        <v>2236.1803276960022</v>
      </c>
    </row>
    <row r="23" spans="5:13">
      <c r="E23" s="4">
        <v>22</v>
      </c>
      <c r="F23" s="11">
        <f t="shared" si="3"/>
        <v>1.255102688446641E-10</v>
      </c>
      <c r="G23" s="11">
        <f t="shared" si="0"/>
        <v>7.0285750553011892E-12</v>
      </c>
      <c r="H23" s="11">
        <v>0</v>
      </c>
      <c r="I23" s="11">
        <v>0</v>
      </c>
      <c r="J23" s="11">
        <f t="shared" si="4"/>
        <v>680</v>
      </c>
      <c r="K23" s="8">
        <f>K22-$B$6*K22</f>
        <v>32318.828854934491</v>
      </c>
      <c r="L23" s="11">
        <f>K23*$B$12</f>
        <v>2895.7670654021304</v>
      </c>
      <c r="M23" s="11">
        <f>L23-J23</f>
        <v>2215.7670654021304</v>
      </c>
    </row>
    <row r="24" spans="5:13">
      <c r="E24" s="4">
        <v>23</v>
      </c>
      <c r="F24" s="11">
        <f t="shared" si="3"/>
        <v>1.255102688446641E-10</v>
      </c>
      <c r="G24" s="11">
        <f t="shared" si="0"/>
        <v>7.0285750553011892E-12</v>
      </c>
      <c r="H24" s="11">
        <v>0</v>
      </c>
      <c r="I24" s="11">
        <v>0</v>
      </c>
      <c r="J24" s="11">
        <f t="shared" si="4"/>
        <v>680</v>
      </c>
      <c r="K24" s="8">
        <f>K23-$B$6*K23</f>
        <v>32092.59705294995</v>
      </c>
      <c r="L24" s="11">
        <f>K24*$B$12</f>
        <v>2875.4966959443154</v>
      </c>
      <c r="M24" s="11">
        <f>L24-J24</f>
        <v>2195.4966959443154</v>
      </c>
    </row>
    <row r="25" spans="5:13">
      <c r="E25" s="4">
        <v>24</v>
      </c>
      <c r="F25" s="11">
        <f t="shared" si="3"/>
        <v>1.255102688446641E-10</v>
      </c>
      <c r="G25" s="11">
        <f t="shared" si="0"/>
        <v>7.0285750553011892E-12</v>
      </c>
      <c r="H25" s="11">
        <v>0</v>
      </c>
      <c r="I25" s="11">
        <v>0</v>
      </c>
      <c r="J25" s="11">
        <f t="shared" si="4"/>
        <v>680</v>
      </c>
      <c r="K25" s="8">
        <f>K24-$B$6*K24</f>
        <v>31867.948873579302</v>
      </c>
      <c r="L25" s="11">
        <f>K25*$B$12</f>
        <v>2855.3682190727054</v>
      </c>
      <c r="M25" s="11">
        <f>L25-J25</f>
        <v>2175.3682190727054</v>
      </c>
    </row>
    <row r="26" spans="5:13">
      <c r="E26" s="4">
        <v>25</v>
      </c>
      <c r="F26" s="11">
        <f t="shared" si="3"/>
        <v>1.255102688446641E-10</v>
      </c>
      <c r="G26" s="11">
        <f t="shared" si="0"/>
        <v>7.0285750553011892E-12</v>
      </c>
      <c r="H26" s="11">
        <v>0</v>
      </c>
      <c r="I26" s="11">
        <v>0</v>
      </c>
      <c r="J26" s="11">
        <f t="shared" si="4"/>
        <v>680</v>
      </c>
      <c r="K26" s="8">
        <f>K25-$B$6*K25</f>
        <v>31644.873231464248</v>
      </c>
      <c r="L26" s="11">
        <f>K26*$B$12</f>
        <v>2835.3806415391964</v>
      </c>
      <c r="M26" s="11">
        <f>L26-J26</f>
        <v>2155.3806415391964</v>
      </c>
    </row>
    <row r="27" spans="5:13">
      <c r="E27" s="7" t="s">
        <v>41</v>
      </c>
      <c r="F27" s="12">
        <f t="shared" ref="F27:L27" si="5">SUM(F2:F26)</f>
        <v>612402.30646400503</v>
      </c>
      <c r="G27" s="12">
        <f t="shared" si="5"/>
        <v>34294.52916198429</v>
      </c>
      <c r="H27" s="12">
        <f t="shared" si="5"/>
        <v>102294.52916198412</v>
      </c>
      <c r="I27" s="12">
        <f t="shared" si="5"/>
        <v>67999.999999999884</v>
      </c>
      <c r="J27" s="12">
        <f t="shared" si="5"/>
        <v>119294.52916198412</v>
      </c>
      <c r="K27" s="12">
        <f t="shared" si="5"/>
        <v>861805.84016514255</v>
      </c>
      <c r="L27" s="12">
        <f t="shared" si="5"/>
        <v>146570.34694570565</v>
      </c>
      <c r="M27" s="12">
        <f>SUM(M2:M26)</f>
        <v>27275.817783721574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PV modul</vt:lpstr>
      <vt:lpstr>Ekonomski proračun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2020-05-30T22:38:19Z</dcterms:modified>
</cp:coreProperties>
</file>