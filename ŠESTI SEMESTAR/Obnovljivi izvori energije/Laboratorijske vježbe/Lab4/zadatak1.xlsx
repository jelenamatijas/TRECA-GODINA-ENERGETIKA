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7235" windowHeight="621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Sheet1!$F$34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Sheet1!$M$34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10</definedName>
  </definedNames>
  <calcPr calcId="125725"/>
</workbook>
</file>

<file path=xl/calcChain.xml><?xml version="1.0" encoding="utf-8"?>
<calcChain xmlns="http://schemas.openxmlformats.org/spreadsheetml/2006/main">
  <c r="H34" i="1"/>
  <c r="G34"/>
  <c r="M4"/>
  <c r="M5"/>
  <c r="M6"/>
  <c r="M7"/>
  <c r="M8"/>
  <c r="M9"/>
  <c r="M10"/>
  <c r="M11"/>
  <c r="M12"/>
  <c r="M13"/>
  <c r="M14"/>
  <c r="M15"/>
  <c r="M3"/>
  <c r="L4"/>
  <c r="L5"/>
  <c r="L6"/>
  <c r="L7"/>
  <c r="L8"/>
  <c r="L9"/>
  <c r="L10"/>
  <c r="L11"/>
  <c r="L12"/>
  <c r="L13"/>
  <c r="L14"/>
  <c r="K4"/>
  <c r="K5"/>
  <c r="K6"/>
  <c r="K7"/>
  <c r="K8"/>
  <c r="K9"/>
  <c r="K10"/>
  <c r="K11"/>
  <c r="K12"/>
  <c r="K13"/>
  <c r="K14"/>
  <c r="J4"/>
  <c r="J5"/>
  <c r="J6"/>
  <c r="J7"/>
  <c r="J8"/>
  <c r="J9"/>
  <c r="J10"/>
  <c r="J11"/>
  <c r="J12"/>
  <c r="J13"/>
  <c r="J14"/>
  <c r="I4"/>
  <c r="I5"/>
  <c r="I6"/>
  <c r="I7"/>
  <c r="I8"/>
  <c r="I9"/>
  <c r="I10"/>
  <c r="I11"/>
  <c r="I12"/>
  <c r="I13"/>
  <c r="I14"/>
  <c r="H4"/>
  <c r="H5"/>
  <c r="H6"/>
  <c r="H7"/>
  <c r="H8"/>
  <c r="H9"/>
  <c r="H10"/>
  <c r="H11"/>
  <c r="H12"/>
  <c r="H13"/>
  <c r="H14"/>
  <c r="H15"/>
  <c r="H3"/>
  <c r="G5"/>
  <c r="G6"/>
  <c r="G7"/>
  <c r="G8"/>
  <c r="G9"/>
  <c r="G10"/>
  <c r="G11"/>
  <c r="G12"/>
  <c r="G13"/>
  <c r="G14"/>
  <c r="G15"/>
  <c r="I15" s="1"/>
  <c r="G4"/>
  <c r="G3"/>
  <c r="I34" l="1"/>
  <c r="J15"/>
  <c r="K15" s="1"/>
  <c r="L15" s="1"/>
  <c r="I3"/>
  <c r="J3" s="1"/>
  <c r="K3" s="1"/>
  <c r="J34" l="1"/>
  <c r="L3"/>
  <c r="K34" l="1"/>
  <c r="L34" s="1"/>
  <c r="M34" l="1"/>
</calcChain>
</file>

<file path=xl/sharedStrings.xml><?xml version="1.0" encoding="utf-8"?>
<sst xmlns="http://schemas.openxmlformats.org/spreadsheetml/2006/main" count="28" uniqueCount="18">
  <si>
    <t>Ulazni podaci</t>
  </si>
  <si>
    <t>Rp</t>
  </si>
  <si>
    <t>Rs</t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</si>
  <si>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</si>
  <si>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Iks</t>
  </si>
  <si>
    <t>N</t>
  </si>
  <si>
    <t>R</t>
  </si>
  <si>
    <t>Ω</t>
  </si>
  <si>
    <t xml:space="preserve"> Ω</t>
  </si>
  <si>
    <t>A</t>
  </si>
  <si>
    <t>Ud</t>
  </si>
  <si>
    <t>Id</t>
  </si>
  <si>
    <t>Ip</t>
  </si>
  <si>
    <t>I</t>
  </si>
  <si>
    <t>U</t>
  </si>
  <si>
    <t>Umod</t>
  </si>
  <si>
    <t>P</t>
  </si>
  <si>
    <t>I1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</si>
</sst>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Sheet1!$K$3:$K$15</c:f>
              <c:numCache>
                <c:formatCode>General</c:formatCode>
                <c:ptCount val="13"/>
                <c:pt idx="0">
                  <c:v>9.9998981545335042E-7</c:v>
                </c:pt>
                <c:pt idx="1">
                  <c:v>0.57659090950615788</c:v>
                </c:pt>
                <c:pt idx="2">
                  <c:v>1.1770454576653229</c:v>
                </c:pt>
                <c:pt idx="3">
                  <c:v>1.7775000220349808</c:v>
                </c:pt>
                <c:pt idx="4">
                  <c:v>2.3779546997748597</c:v>
                </c:pt>
                <c:pt idx="5">
                  <c:v>2.9784101703843282</c:v>
                </c:pt>
                <c:pt idx="6">
                  <c:v>3.5788711860318121</c:v>
                </c:pt>
                <c:pt idx="7">
                  <c:v>4.1793709816338023</c:v>
                </c:pt>
                <c:pt idx="8">
                  <c:v>4.7801419899609616</c:v>
                </c:pt>
                <c:pt idx="9">
                  <c:v>5.382809760242357</c:v>
                </c:pt>
                <c:pt idx="10">
                  <c:v>5.9987427853483029</c:v>
                </c:pt>
                <c:pt idx="11">
                  <c:v>6.7074481191603681</c:v>
                </c:pt>
                <c:pt idx="12">
                  <c:v>6.9198456740287098</c:v>
                </c:pt>
              </c:numCache>
            </c:numRef>
          </c:xVal>
          <c:yVal>
            <c:numRef>
              <c:f>Sheet1!$I$3:$I$15</c:f>
              <c:numCache>
                <c:formatCode>General</c:formatCode>
                <c:ptCount val="13"/>
                <c:pt idx="0">
                  <c:v>3.3974261791006186</c:v>
                </c:pt>
                <c:pt idx="1">
                  <c:v>3.390151508230701</c:v>
                </c:pt>
                <c:pt idx="2">
                  <c:v>3.3825757055779531</c:v>
                </c:pt>
                <c:pt idx="3">
                  <c:v>3.37499963275032</c:v>
                </c:pt>
                <c:pt idx="4">
                  <c:v>3.3674216704190028</c:v>
                </c:pt>
                <c:pt idx="5">
                  <c:v>3.3598304935945325</c:v>
                </c:pt>
                <c:pt idx="6">
                  <c:v>3.3521468994697954</c:v>
                </c:pt>
                <c:pt idx="7">
                  <c:v>3.34381697276996</c:v>
                </c:pt>
                <c:pt idx="8">
                  <c:v>3.3309668339839678</c:v>
                </c:pt>
                <c:pt idx="9">
                  <c:v>3.2865039959607261</c:v>
                </c:pt>
                <c:pt idx="10">
                  <c:v>3.0209535775282794</c:v>
                </c:pt>
                <c:pt idx="11">
                  <c:v>1.2091980139938616</c:v>
                </c:pt>
                <c:pt idx="12">
                  <c:v>5.9754732338601624E-7</c:v>
                </c:pt>
              </c:numCache>
            </c:numRef>
          </c:yVal>
        </c:ser>
        <c:axId val="81275904"/>
        <c:axId val="81274368"/>
      </c:scatterChart>
      <c:valAx>
        <c:axId val="81275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bs-Latn-BA"/>
                  <a:t>Umod</a:t>
                </a:r>
                <a:r>
                  <a:rPr lang="en-US"/>
                  <a:t>[V]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81274368"/>
        <c:crosses val="autoZero"/>
        <c:crossBetween val="midCat"/>
      </c:valAx>
      <c:valAx>
        <c:axId val="81274368"/>
        <c:scaling>
          <c:orientation val="minMax"/>
        </c:scaling>
        <c:axPos val="l"/>
        <c:min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I[A]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8127590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title>
      <c:tx>
        <c:rich>
          <a:bodyPr/>
          <a:lstStyle/>
          <a:p>
            <a:pPr>
              <a:defRPr/>
            </a:pPr>
            <a:r>
              <a:rPr lang="en-US"/>
              <a:t>P=f(Umod)</a:t>
            </a:r>
            <a:endParaRPr lang="bs-Latn-BA"/>
          </a:p>
        </c:rich>
      </c:tx>
      <c:layout/>
    </c:title>
    <c:plotArea>
      <c:layout>
        <c:manualLayout>
          <c:layoutTarget val="inner"/>
          <c:xMode val="edge"/>
          <c:yMode val="edge"/>
          <c:x val="0.11087729658792651"/>
          <c:y val="6.528944298629337E-2"/>
          <c:w val="0.70197681539807522"/>
          <c:h val="0.8326195683872849"/>
        </c:manualLayout>
      </c:layout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Sheet1!$K$3:$K$15</c:f>
              <c:numCache>
                <c:formatCode>General</c:formatCode>
                <c:ptCount val="13"/>
                <c:pt idx="0">
                  <c:v>9.9998981545335042E-7</c:v>
                </c:pt>
                <c:pt idx="1">
                  <c:v>0.57659090950615788</c:v>
                </c:pt>
                <c:pt idx="2">
                  <c:v>1.1770454576653229</c:v>
                </c:pt>
                <c:pt idx="3">
                  <c:v>1.7775000220349808</c:v>
                </c:pt>
                <c:pt idx="4">
                  <c:v>2.3779546997748597</c:v>
                </c:pt>
                <c:pt idx="5">
                  <c:v>2.9784101703843282</c:v>
                </c:pt>
                <c:pt idx="6">
                  <c:v>3.5788711860318121</c:v>
                </c:pt>
                <c:pt idx="7">
                  <c:v>4.1793709816338023</c:v>
                </c:pt>
                <c:pt idx="8">
                  <c:v>4.7801419899609616</c:v>
                </c:pt>
                <c:pt idx="9">
                  <c:v>5.382809760242357</c:v>
                </c:pt>
                <c:pt idx="10">
                  <c:v>5.9987427853483029</c:v>
                </c:pt>
                <c:pt idx="11">
                  <c:v>6.7074481191603681</c:v>
                </c:pt>
                <c:pt idx="12">
                  <c:v>6.9198456740287098</c:v>
                </c:pt>
              </c:numCache>
            </c:numRef>
          </c:xVal>
          <c:yVal>
            <c:numRef>
              <c:f>Sheet1!$L$3:$L$15</c:f>
              <c:numCache>
                <c:formatCode>General</c:formatCode>
                <c:ptCount val="13"/>
                <c:pt idx="0">
                  <c:v>3.3973915778552091E-6</c:v>
                </c:pt>
                <c:pt idx="1">
                  <c:v>1.9547305414944127</c:v>
                </c:pt>
                <c:pt idx="2">
                  <c:v>3.9814453694596041</c:v>
                </c:pt>
                <c:pt idx="3">
                  <c:v>5.9990619215817462</c:v>
                </c:pt>
                <c:pt idx="4">
                  <c:v>8.0075761872965767</c:v>
                </c:pt>
                <c:pt idx="5">
                  <c:v>10.006953312889353</c:v>
                </c:pt>
                <c:pt idx="6">
                  <c:v>11.996901949858328</c:v>
                </c:pt>
                <c:pt idx="7">
                  <c:v>13.975051623889357</c:v>
                </c:pt>
                <c:pt idx="8">
                  <c:v>15.922494430294087</c:v>
                </c:pt>
                <c:pt idx="9">
                  <c:v>17.690625786532905</c:v>
                </c:pt>
                <c:pt idx="10">
                  <c:v>18.12192347806991</c:v>
                </c:pt>
                <c:pt idx="11">
                  <c:v>8.1106329446555794</c:v>
                </c:pt>
                <c:pt idx="12">
                  <c:v>4.1349352607601591E-6</c:v>
                </c:pt>
              </c:numCache>
            </c:numRef>
          </c:yVal>
        </c:ser>
        <c:axId val="178501888"/>
        <c:axId val="178500352"/>
      </c:scatterChart>
      <c:valAx>
        <c:axId val="178501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Umod[V]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178500352"/>
        <c:crosses val="autoZero"/>
        <c:crossBetween val="midCat"/>
      </c:valAx>
      <c:valAx>
        <c:axId val="17850035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P[W]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1785018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autoTitleDeleted val="1"/>
    <c:plotArea>
      <c:layout/>
      <c:scatterChart>
        <c:scatterStyle val="lineMarker"/>
        <c:ser>
          <c:idx val="0"/>
          <c:order val="0"/>
          <c:tx>
            <c:v>opterecenje</c:v>
          </c:tx>
          <c:marker>
            <c:symbol val="none"/>
          </c:marker>
          <c:xVal>
            <c:numRef>
              <c:f>Sheet1!$K$3:$K$15</c:f>
              <c:numCache>
                <c:formatCode>General</c:formatCode>
                <c:ptCount val="13"/>
                <c:pt idx="0">
                  <c:v>9.9998981545335042E-7</c:v>
                </c:pt>
                <c:pt idx="1">
                  <c:v>0.57659090950615788</c:v>
                </c:pt>
                <c:pt idx="2">
                  <c:v>1.1770454576653229</c:v>
                </c:pt>
                <c:pt idx="3">
                  <c:v>1.7775000220349808</c:v>
                </c:pt>
                <c:pt idx="4">
                  <c:v>2.3779546997748597</c:v>
                </c:pt>
                <c:pt idx="5">
                  <c:v>2.9784101703843282</c:v>
                </c:pt>
                <c:pt idx="6">
                  <c:v>3.5788711860318121</c:v>
                </c:pt>
                <c:pt idx="7">
                  <c:v>4.1793709816338023</c:v>
                </c:pt>
                <c:pt idx="8">
                  <c:v>4.7801419899609616</c:v>
                </c:pt>
                <c:pt idx="9">
                  <c:v>5.382809760242357</c:v>
                </c:pt>
                <c:pt idx="10">
                  <c:v>5.9987427853483029</c:v>
                </c:pt>
                <c:pt idx="11">
                  <c:v>6.7074481191603681</c:v>
                </c:pt>
                <c:pt idx="12">
                  <c:v>6.9198456740287098</c:v>
                </c:pt>
              </c:numCache>
            </c:numRef>
          </c:xVal>
          <c:yVal>
            <c:numRef>
              <c:f>Sheet1!$M$3</c:f>
              <c:numCache>
                <c:formatCode>General</c:formatCode>
                <c:ptCount val="1"/>
                <c:pt idx="0">
                  <c:v>9.9998981545335036E-8</c:v>
                </c:pt>
              </c:numCache>
            </c:numRef>
          </c:yVal>
        </c:ser>
        <c:ser>
          <c:idx val="1"/>
          <c:order val="1"/>
          <c:marker>
            <c:symbol val="none"/>
          </c:marker>
          <c:xVal>
            <c:numRef>
              <c:f>Sheet1!$K$3:$K$15</c:f>
              <c:numCache>
                <c:formatCode>General</c:formatCode>
                <c:ptCount val="13"/>
                <c:pt idx="0">
                  <c:v>9.9998981545335042E-7</c:v>
                </c:pt>
                <c:pt idx="1">
                  <c:v>0.57659090950615788</c:v>
                </c:pt>
                <c:pt idx="2">
                  <c:v>1.1770454576653229</c:v>
                </c:pt>
                <c:pt idx="3">
                  <c:v>1.7775000220349808</c:v>
                </c:pt>
                <c:pt idx="4">
                  <c:v>2.3779546997748597</c:v>
                </c:pt>
                <c:pt idx="5">
                  <c:v>2.9784101703843282</c:v>
                </c:pt>
                <c:pt idx="6">
                  <c:v>3.5788711860318121</c:v>
                </c:pt>
                <c:pt idx="7">
                  <c:v>4.1793709816338023</c:v>
                </c:pt>
                <c:pt idx="8">
                  <c:v>4.7801419899609616</c:v>
                </c:pt>
                <c:pt idx="9">
                  <c:v>5.382809760242357</c:v>
                </c:pt>
                <c:pt idx="10">
                  <c:v>5.9987427853483029</c:v>
                </c:pt>
                <c:pt idx="11">
                  <c:v>6.7074481191603681</c:v>
                </c:pt>
                <c:pt idx="12">
                  <c:v>6.9198456740287098</c:v>
                </c:pt>
              </c:numCache>
            </c:numRef>
          </c:xVal>
          <c:yVal>
            <c:numRef>
              <c:f>Sheet1!$M$3:$M$15</c:f>
              <c:numCache>
                <c:formatCode>General</c:formatCode>
                <c:ptCount val="13"/>
                <c:pt idx="0">
                  <c:v>9.9998981545335036E-8</c:v>
                </c:pt>
                <c:pt idx="1">
                  <c:v>5.7659090950615791E-2</c:v>
                </c:pt>
                <c:pt idx="2">
                  <c:v>0.11770454576653229</c:v>
                </c:pt>
                <c:pt idx="3">
                  <c:v>0.17775000220349807</c:v>
                </c:pt>
                <c:pt idx="4">
                  <c:v>0.23779546997748596</c:v>
                </c:pt>
                <c:pt idx="5">
                  <c:v>0.2978410170384328</c:v>
                </c:pt>
                <c:pt idx="6">
                  <c:v>0.35788711860318123</c:v>
                </c:pt>
                <c:pt idx="7">
                  <c:v>0.41793709816338021</c:v>
                </c:pt>
                <c:pt idx="8">
                  <c:v>0.47801419899609615</c:v>
                </c:pt>
                <c:pt idx="9">
                  <c:v>0.53828097602423575</c:v>
                </c:pt>
                <c:pt idx="10">
                  <c:v>0.59987427853483033</c:v>
                </c:pt>
                <c:pt idx="11">
                  <c:v>0.67074481191603685</c:v>
                </c:pt>
                <c:pt idx="12">
                  <c:v>0.69198456740287095</c:v>
                </c:pt>
              </c:numCache>
            </c:numRef>
          </c:yVal>
        </c:ser>
        <c:ser>
          <c:idx val="2"/>
          <c:order val="2"/>
          <c:marker>
            <c:symbol val="none"/>
          </c:marker>
          <c:xVal>
            <c:numRef>
              <c:f>Sheet1!$K$3:$K$15</c:f>
              <c:numCache>
                <c:formatCode>General</c:formatCode>
                <c:ptCount val="13"/>
                <c:pt idx="0">
                  <c:v>9.9998981545335042E-7</c:v>
                </c:pt>
                <c:pt idx="1">
                  <c:v>0.57659090950615788</c:v>
                </c:pt>
                <c:pt idx="2">
                  <c:v>1.1770454576653229</c:v>
                </c:pt>
                <c:pt idx="3">
                  <c:v>1.7775000220349808</c:v>
                </c:pt>
                <c:pt idx="4">
                  <c:v>2.3779546997748597</c:v>
                </c:pt>
                <c:pt idx="5">
                  <c:v>2.9784101703843282</c:v>
                </c:pt>
                <c:pt idx="6">
                  <c:v>3.5788711860318121</c:v>
                </c:pt>
                <c:pt idx="7">
                  <c:v>4.1793709816338023</c:v>
                </c:pt>
                <c:pt idx="8">
                  <c:v>4.7801419899609616</c:v>
                </c:pt>
                <c:pt idx="9">
                  <c:v>5.382809760242357</c:v>
                </c:pt>
                <c:pt idx="10">
                  <c:v>5.9987427853483029</c:v>
                </c:pt>
                <c:pt idx="11">
                  <c:v>6.7074481191603681</c:v>
                </c:pt>
                <c:pt idx="12">
                  <c:v>6.9198456740287098</c:v>
                </c:pt>
              </c:numCache>
            </c:numRef>
          </c:xVal>
          <c:yVal>
            <c:numRef>
              <c:f>Sheet1!$I$3:$I$15</c:f>
              <c:numCache>
                <c:formatCode>General</c:formatCode>
                <c:ptCount val="13"/>
                <c:pt idx="0">
                  <c:v>3.3974261791006186</c:v>
                </c:pt>
                <c:pt idx="1">
                  <c:v>3.390151508230701</c:v>
                </c:pt>
                <c:pt idx="2">
                  <c:v>3.3825757055779531</c:v>
                </c:pt>
                <c:pt idx="3">
                  <c:v>3.37499963275032</c:v>
                </c:pt>
                <c:pt idx="4">
                  <c:v>3.3674216704190028</c:v>
                </c:pt>
                <c:pt idx="5">
                  <c:v>3.3598304935945325</c:v>
                </c:pt>
                <c:pt idx="6">
                  <c:v>3.3521468994697954</c:v>
                </c:pt>
                <c:pt idx="7">
                  <c:v>3.34381697276996</c:v>
                </c:pt>
                <c:pt idx="8">
                  <c:v>3.3309668339839678</c:v>
                </c:pt>
                <c:pt idx="9">
                  <c:v>3.2865039959607261</c:v>
                </c:pt>
                <c:pt idx="10">
                  <c:v>3.0209535775282794</c:v>
                </c:pt>
                <c:pt idx="11">
                  <c:v>1.2091980139938616</c:v>
                </c:pt>
                <c:pt idx="12">
                  <c:v>5.9754732338601624E-7</c:v>
                </c:pt>
              </c:numCache>
            </c:numRef>
          </c:yVal>
        </c:ser>
        <c:axId val="213315968"/>
        <c:axId val="213190912"/>
      </c:scatterChart>
      <c:valAx>
        <c:axId val="213315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Umod[V]</a:t>
                </a:r>
              </a:p>
            </c:rich>
          </c:tx>
          <c:layout/>
        </c:title>
        <c:numFmt formatCode="General" sourceLinked="1"/>
        <c:tickLblPos val="nextTo"/>
        <c:crossAx val="213190912"/>
        <c:crosses val="autoZero"/>
        <c:crossBetween val="midCat"/>
      </c:valAx>
      <c:valAx>
        <c:axId val="213190912"/>
        <c:scaling>
          <c:orientation val="minMax"/>
        </c:scaling>
        <c:axPos val="l"/>
        <c:min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I[A]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2133159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16</xdr:row>
      <xdr:rowOff>133350</xdr:rowOff>
    </xdr:from>
    <xdr:to>
      <xdr:col>7</xdr:col>
      <xdr:colOff>600075</xdr:colOff>
      <xdr:row>31</xdr:row>
      <xdr:rowOff>19050</xdr:rowOff>
    </xdr:to>
    <xdr:graphicFrame macro="">
      <xdr:nvGraphicFramePr>
        <xdr:cNvPr id="2" name="I-U karakteristika modul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561974</xdr:colOff>
      <xdr:row>16</xdr:row>
      <xdr:rowOff>114300</xdr:rowOff>
    </xdr:from>
    <xdr:to>
      <xdr:col>20</xdr:col>
      <xdr:colOff>190499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361949</xdr:colOff>
      <xdr:row>1</xdr:row>
      <xdr:rowOff>19050</xdr:rowOff>
    </xdr:from>
    <xdr:to>
      <xdr:col>22</xdr:col>
      <xdr:colOff>66674</xdr:colOff>
      <xdr:row>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34"/>
  <sheetViews>
    <sheetView tabSelected="1" topLeftCell="A5" workbookViewId="0">
      <selection activeCell="M34" sqref="M34"/>
    </sheetView>
  </sheetViews>
  <sheetFormatPr defaultRowHeight="15"/>
  <cols>
    <col min="7" max="7" width="20.85546875" customWidth="1"/>
    <col min="9" max="9" width="9.140625" customWidth="1"/>
    <col min="13" max="13" width="12" bestFit="1" customWidth="1"/>
  </cols>
  <sheetData>
    <row r="2" spans="2:13">
      <c r="B2" s="1" t="s">
        <v>0</v>
      </c>
      <c r="C2" s="1"/>
      <c r="D2" s="1"/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</row>
    <row r="3" spans="2:13">
      <c r="B3" s="2" t="s">
        <v>1</v>
      </c>
      <c r="C3" s="2">
        <v>6.6</v>
      </c>
      <c r="D3" s="3" t="s">
        <v>7</v>
      </c>
      <c r="F3" s="6">
        <v>1.6987214227987716E-2</v>
      </c>
      <c r="G3" s="6">
        <f>$C$5*(EXP(38.9*F3)-1)</f>
        <v>5.6180753212070963E-10</v>
      </c>
      <c r="H3" s="6">
        <f>F3/$C$3</f>
        <v>2.5738203375738965E-3</v>
      </c>
      <c r="I3" s="6">
        <f>$C$6-G3-H3</f>
        <v>3.3974261791006186</v>
      </c>
      <c r="J3" s="6">
        <f>F3-$C$4*I3</f>
        <v>8.3332484621112535E-8</v>
      </c>
      <c r="K3" s="6">
        <f>$C$7*J3</f>
        <v>9.9998981545335042E-7</v>
      </c>
      <c r="L3" s="6">
        <f>I3*K3</f>
        <v>3.3973915778552091E-6</v>
      </c>
      <c r="M3" s="6">
        <f>K3/$C$8</f>
        <v>9.9998981545335036E-8</v>
      </c>
    </row>
    <row r="4" spans="2:13">
      <c r="B4" s="2" t="s">
        <v>2</v>
      </c>
      <c r="C4" s="2">
        <v>5.0000000000000001E-3</v>
      </c>
      <c r="D4" s="3" t="s">
        <v>8</v>
      </c>
      <c r="F4" s="6">
        <v>6.5000000000000002E-2</v>
      </c>
      <c r="G4" s="6">
        <f>$C$5*(EXP(38.9*F4)-1)</f>
        <v>6.9208139958593612E-9</v>
      </c>
      <c r="H4" s="6">
        <f t="shared" ref="H4:H15" si="0">F4/$C$3</f>
        <v>9.8484848484848495E-3</v>
      </c>
      <c r="I4" s="6">
        <f t="shared" ref="I4:I15" si="1">$C$6-G4-H4</f>
        <v>3.390151508230701</v>
      </c>
      <c r="J4" s="6">
        <f t="shared" ref="J4:J15" si="2">F4-$C$4*I4</f>
        <v>4.8049242458846494E-2</v>
      </c>
      <c r="K4" s="6">
        <f t="shared" ref="K4:K15" si="3">$C$7*J4</f>
        <v>0.57659090950615788</v>
      </c>
      <c r="L4" s="6">
        <f t="shared" ref="L4:L15" si="4">I4*K4</f>
        <v>1.9547305414944127</v>
      </c>
      <c r="M4" s="6">
        <f t="shared" ref="M4:M15" si="5">K4/$C$8</f>
        <v>5.7659090950615791E-2</v>
      </c>
    </row>
    <row r="5" spans="2:13" ht="18">
      <c r="B5" s="2" t="s">
        <v>3</v>
      </c>
      <c r="C5" s="4">
        <v>6E-10</v>
      </c>
      <c r="D5" s="2" t="s">
        <v>9</v>
      </c>
      <c r="F5" s="6">
        <v>0.115</v>
      </c>
      <c r="G5" s="6">
        <f t="shared" ref="G5:G15" si="6">$C$5*(EXP(38.9*F5)-1)</f>
        <v>5.1997804337219781E-8</v>
      </c>
      <c r="H5" s="6">
        <f t="shared" si="0"/>
        <v>1.7424242424242425E-2</v>
      </c>
      <c r="I5" s="6">
        <f t="shared" si="1"/>
        <v>3.3825757055779531</v>
      </c>
      <c r="J5" s="6">
        <f t="shared" si="2"/>
        <v>9.8087121472110239E-2</v>
      </c>
      <c r="K5" s="6">
        <f t="shared" si="3"/>
        <v>1.1770454576653229</v>
      </c>
      <c r="L5" s="6">
        <f t="shared" si="4"/>
        <v>3.9814453694596041</v>
      </c>
      <c r="M5" s="6">
        <f t="shared" si="5"/>
        <v>0.11770454576653229</v>
      </c>
    </row>
    <row r="6" spans="2:13">
      <c r="B6" s="2" t="s">
        <v>4</v>
      </c>
      <c r="C6" s="2">
        <v>3.4</v>
      </c>
      <c r="D6" s="2" t="s">
        <v>9</v>
      </c>
      <c r="F6" s="6">
        <v>0.16500000000000001</v>
      </c>
      <c r="G6" s="6">
        <f t="shared" si="6"/>
        <v>3.6724967991757169E-7</v>
      </c>
      <c r="H6" s="6">
        <f t="shared" si="0"/>
        <v>2.5000000000000001E-2</v>
      </c>
      <c r="I6" s="6">
        <f t="shared" si="1"/>
        <v>3.37499963275032</v>
      </c>
      <c r="J6" s="6">
        <f t="shared" si="2"/>
        <v>0.14812500183624841</v>
      </c>
      <c r="K6" s="6">
        <f t="shared" si="3"/>
        <v>1.7775000220349808</v>
      </c>
      <c r="L6" s="6">
        <f t="shared" si="4"/>
        <v>5.9990619215817462</v>
      </c>
      <c r="M6" s="6">
        <f t="shared" si="5"/>
        <v>0.17775000220349807</v>
      </c>
    </row>
    <row r="7" spans="2:13">
      <c r="B7" s="2" t="s">
        <v>5</v>
      </c>
      <c r="C7" s="2">
        <v>12</v>
      </c>
      <c r="D7" s="2"/>
      <c r="F7" s="6">
        <v>0.215</v>
      </c>
      <c r="G7" s="6">
        <f t="shared" si="6"/>
        <v>2.5720052393352113E-6</v>
      </c>
      <c r="H7" s="6">
        <f t="shared" si="0"/>
        <v>3.2575757575757577E-2</v>
      </c>
      <c r="I7" s="6">
        <f t="shared" si="1"/>
        <v>3.3674216704190028</v>
      </c>
      <c r="J7" s="6">
        <f t="shared" si="2"/>
        <v>0.19816289164790499</v>
      </c>
      <c r="K7" s="6">
        <f t="shared" si="3"/>
        <v>2.3779546997748597</v>
      </c>
      <c r="L7" s="6">
        <f t="shared" si="4"/>
        <v>8.0075761872965767</v>
      </c>
      <c r="M7" s="6">
        <f t="shared" si="5"/>
        <v>0.23779546997748596</v>
      </c>
    </row>
    <row r="8" spans="2:13">
      <c r="B8" s="2" t="s">
        <v>6</v>
      </c>
      <c r="C8" s="2">
        <v>10</v>
      </c>
      <c r="D8" s="3" t="s">
        <v>7</v>
      </c>
      <c r="F8" s="6">
        <v>0.26500000000000001</v>
      </c>
      <c r="G8" s="6">
        <f t="shared" si="6"/>
        <v>1.7991253952239454E-5</v>
      </c>
      <c r="H8" s="6">
        <f t="shared" si="0"/>
        <v>4.0151515151515153E-2</v>
      </c>
      <c r="I8" s="6">
        <f t="shared" si="1"/>
        <v>3.3598304935945325</v>
      </c>
      <c r="J8" s="6">
        <f t="shared" si="2"/>
        <v>0.24820084753202734</v>
      </c>
      <c r="K8" s="6">
        <f t="shared" si="3"/>
        <v>2.9784101703843282</v>
      </c>
      <c r="L8" s="6">
        <f t="shared" si="4"/>
        <v>10.006953312889353</v>
      </c>
      <c r="M8" s="6">
        <f t="shared" si="5"/>
        <v>0.2978410170384328</v>
      </c>
    </row>
    <row r="9" spans="2:13">
      <c r="F9" s="6">
        <v>0.315</v>
      </c>
      <c r="G9" s="6">
        <f t="shared" si="6"/>
        <v>1.2582780293148246E-4</v>
      </c>
      <c r="H9" s="6">
        <f t="shared" si="0"/>
        <v>4.7727272727272729E-2</v>
      </c>
      <c r="I9" s="6">
        <f t="shared" si="1"/>
        <v>3.3521468994697954</v>
      </c>
      <c r="J9" s="6">
        <f t="shared" si="2"/>
        <v>0.29823926550265101</v>
      </c>
      <c r="K9" s="6">
        <f t="shared" si="3"/>
        <v>3.5788711860318121</v>
      </c>
      <c r="L9" s="6">
        <f t="shared" si="4"/>
        <v>11.996901949858328</v>
      </c>
      <c r="M9" s="6">
        <f t="shared" si="5"/>
        <v>0.35788711860318123</v>
      </c>
    </row>
    <row r="10" spans="2:13">
      <c r="F10" s="6">
        <v>0.36499999999999999</v>
      </c>
      <c r="G10" s="6">
        <f t="shared" si="6"/>
        <v>8.7999692700953985E-4</v>
      </c>
      <c r="H10" s="6">
        <f t="shared" si="0"/>
        <v>5.5303030303030305E-2</v>
      </c>
      <c r="I10" s="6">
        <f t="shared" si="1"/>
        <v>3.34381697276996</v>
      </c>
      <c r="J10" s="6">
        <f t="shared" si="2"/>
        <v>0.34828091513615017</v>
      </c>
      <c r="K10" s="6">
        <f t="shared" si="3"/>
        <v>4.1793709816338023</v>
      </c>
      <c r="L10" s="6">
        <f t="shared" si="4"/>
        <v>13.975051623889357</v>
      </c>
      <c r="M10" s="6">
        <f t="shared" si="5"/>
        <v>0.41793709816338021</v>
      </c>
    </row>
    <row r="11" spans="2:13">
      <c r="F11" s="6">
        <v>0.41499999999999998</v>
      </c>
      <c r="G11" s="6">
        <f t="shared" si="6"/>
        <v>6.1543781372441547E-3</v>
      </c>
      <c r="H11" s="6">
        <f t="shared" si="0"/>
        <v>6.2878787878787881E-2</v>
      </c>
      <c r="I11" s="6">
        <f t="shared" si="1"/>
        <v>3.3309668339839678</v>
      </c>
      <c r="J11" s="6">
        <f t="shared" si="2"/>
        <v>0.39834516583008012</v>
      </c>
      <c r="K11" s="6">
        <f t="shared" si="3"/>
        <v>4.7801419899609616</v>
      </c>
      <c r="L11" s="6">
        <f t="shared" si="4"/>
        <v>15.922494430294087</v>
      </c>
      <c r="M11" s="6">
        <f t="shared" si="5"/>
        <v>0.47801419899609615</v>
      </c>
    </row>
    <row r="12" spans="2:13">
      <c r="F12" s="6">
        <v>0.46500000000000002</v>
      </c>
      <c r="G12" s="6">
        <f t="shared" si="6"/>
        <v>4.3041458584728312E-2</v>
      </c>
      <c r="H12" s="6">
        <f t="shared" si="0"/>
        <v>7.0454545454545464E-2</v>
      </c>
      <c r="I12" s="6">
        <f t="shared" si="1"/>
        <v>3.2865039959607261</v>
      </c>
      <c r="J12" s="6">
        <f t="shared" si="2"/>
        <v>0.44856748002019642</v>
      </c>
      <c r="K12" s="6">
        <f t="shared" si="3"/>
        <v>5.382809760242357</v>
      </c>
      <c r="L12" s="6">
        <f t="shared" si="4"/>
        <v>17.690625786532905</v>
      </c>
      <c r="M12" s="6">
        <f t="shared" si="5"/>
        <v>0.53828097602423575</v>
      </c>
    </row>
    <row r="13" spans="2:13">
      <c r="F13" s="6">
        <v>0.51500000000000001</v>
      </c>
      <c r="G13" s="6">
        <f t="shared" si="6"/>
        <v>0.30101611944141737</v>
      </c>
      <c r="H13" s="6">
        <f t="shared" si="0"/>
        <v>7.8030303030303033E-2</v>
      </c>
      <c r="I13" s="6">
        <f t="shared" si="1"/>
        <v>3.0209535775282794</v>
      </c>
      <c r="J13" s="6">
        <f t="shared" si="2"/>
        <v>0.49989523211235859</v>
      </c>
      <c r="K13" s="6">
        <f t="shared" si="3"/>
        <v>5.9987427853483029</v>
      </c>
      <c r="L13" s="6">
        <f t="shared" si="4"/>
        <v>18.12192347806991</v>
      </c>
      <c r="M13" s="6">
        <f t="shared" si="5"/>
        <v>0.59987427853483033</v>
      </c>
    </row>
    <row r="14" spans="2:13">
      <c r="F14" s="6">
        <v>0.56499999999999995</v>
      </c>
      <c r="G14" s="6">
        <f t="shared" si="6"/>
        <v>2.1051959254000776</v>
      </c>
      <c r="H14" s="6">
        <f t="shared" si="0"/>
        <v>8.5606060606060602E-2</v>
      </c>
      <c r="I14" s="6">
        <f t="shared" si="1"/>
        <v>1.2091980139938616</v>
      </c>
      <c r="J14" s="6">
        <f t="shared" si="2"/>
        <v>0.55895400993003064</v>
      </c>
      <c r="K14" s="6">
        <f t="shared" si="3"/>
        <v>6.7074481191603681</v>
      </c>
      <c r="L14" s="6">
        <f t="shared" si="4"/>
        <v>8.1106329446555794</v>
      </c>
      <c r="M14" s="6">
        <f t="shared" si="5"/>
        <v>0.67074481191603685</v>
      </c>
    </row>
    <row r="15" spans="2:13">
      <c r="F15" s="6">
        <v>0.57665380915679576</v>
      </c>
      <c r="G15" s="6">
        <f t="shared" si="6"/>
        <v>3.3126276131864953</v>
      </c>
      <c r="H15" s="6">
        <f t="shared" si="0"/>
        <v>8.737178926618118E-2</v>
      </c>
      <c r="I15" s="6">
        <f t="shared" si="1"/>
        <v>5.9754732338601624E-7</v>
      </c>
      <c r="J15" s="6">
        <f t="shared" si="2"/>
        <v>0.57665380616905915</v>
      </c>
      <c r="K15" s="6">
        <f t="shared" si="3"/>
        <v>6.9198456740287098</v>
      </c>
      <c r="L15" s="6">
        <f t="shared" si="4"/>
        <v>4.1349352607601591E-6</v>
      </c>
      <c r="M15" s="6">
        <f t="shared" si="5"/>
        <v>0.69198456740287095</v>
      </c>
    </row>
    <row r="33" spans="6:13">
      <c r="F33" s="5" t="s">
        <v>10</v>
      </c>
      <c r="G33" s="5" t="s">
        <v>11</v>
      </c>
      <c r="H33" s="5" t="s">
        <v>12</v>
      </c>
      <c r="I33" s="5" t="s">
        <v>13</v>
      </c>
      <c r="J33" s="5" t="s">
        <v>14</v>
      </c>
      <c r="K33" s="5" t="s">
        <v>15</v>
      </c>
      <c r="L33" s="5" t="s">
        <v>16</v>
      </c>
      <c r="M33" s="5" t="s">
        <v>6</v>
      </c>
    </row>
    <row r="34" spans="6:13">
      <c r="F34" s="6">
        <v>0.57074820596609865</v>
      </c>
      <c r="G34" s="6">
        <f>$C$5*(EXP(38.9*F34)-1)</f>
        <v>2.6327100453268142</v>
      </c>
      <c r="H34" s="6">
        <f>F34/$C$3</f>
        <v>8.647700090395434E-2</v>
      </c>
      <c r="I34" s="6">
        <f>$C$6-G34-H34</f>
        <v>0.68081295376923134</v>
      </c>
      <c r="J34" s="6">
        <f>F34-$C$4*I34</f>
        <v>0.56734414119725252</v>
      </c>
      <c r="K34" s="6">
        <f>$C$7*J34</f>
        <v>6.8081296943670306</v>
      </c>
      <c r="L34" s="6">
        <f>I34*K34</f>
        <v>4.6350628868660326</v>
      </c>
      <c r="M34" s="6">
        <f>K34/I34</f>
        <v>10.000000230128872</v>
      </c>
    </row>
  </sheetData>
  <mergeCells count="1">
    <mergeCell ref="B2:D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2020-04-23T17:26:52Z</dcterms:created>
  <dcterms:modified xsi:type="dcterms:W3CDTF">2020-04-23T18:47:46Z</dcterms:modified>
</cp:coreProperties>
</file>