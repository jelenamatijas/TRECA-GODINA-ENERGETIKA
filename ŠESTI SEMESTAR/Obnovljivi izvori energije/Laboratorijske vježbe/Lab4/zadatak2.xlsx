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23955" windowHeight="978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M19" i="1"/>
  <c r="N19" s="1"/>
  <c r="M20"/>
  <c r="N20" s="1"/>
  <c r="M21"/>
  <c r="M22"/>
  <c r="M23"/>
  <c r="N23" s="1"/>
  <c r="M24"/>
  <c r="N24" s="1"/>
  <c r="M25"/>
  <c r="M26"/>
  <c r="M27"/>
  <c r="N27" s="1"/>
  <c r="M18"/>
  <c r="G29"/>
  <c r="H29"/>
  <c r="I29"/>
  <c r="J29"/>
  <c r="K29"/>
  <c r="L29"/>
  <c r="N4"/>
  <c r="N5"/>
  <c r="N6"/>
  <c r="N7"/>
  <c r="N8"/>
  <c r="N9"/>
  <c r="N10"/>
  <c r="N11"/>
  <c r="N12"/>
  <c r="N13"/>
  <c r="N14"/>
  <c r="N15"/>
  <c r="N16"/>
  <c r="N17"/>
  <c r="N21"/>
  <c r="N22"/>
  <c r="N25"/>
  <c r="N26"/>
  <c r="N3"/>
  <c r="M4"/>
  <c r="M5"/>
  <c r="M6"/>
  <c r="M7"/>
  <c r="M8"/>
  <c r="M9"/>
  <c r="M10"/>
  <c r="M11"/>
  <c r="M12"/>
  <c r="M13"/>
  <c r="M14"/>
  <c r="M15"/>
  <c r="M16"/>
  <c r="M17"/>
  <c r="M3"/>
  <c r="H6"/>
  <c r="I6"/>
  <c r="K6" s="1"/>
  <c r="H7" s="1"/>
  <c r="K5"/>
  <c r="I5"/>
  <c r="H5"/>
  <c r="K4"/>
  <c r="I4"/>
  <c r="H4"/>
  <c r="K3"/>
  <c r="I3"/>
  <c r="G6"/>
  <c r="G7" s="1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5"/>
  <c r="G4"/>
  <c r="C13"/>
  <c r="M29" l="1"/>
  <c r="N18"/>
  <c r="N29" s="1"/>
  <c r="I7"/>
  <c r="K7" s="1"/>
  <c r="H8" s="1"/>
  <c r="I8" l="1"/>
  <c r="K8" s="1"/>
  <c r="H9"/>
  <c r="I9" l="1"/>
  <c r="K9" s="1"/>
  <c r="H10" s="1"/>
  <c r="I10" l="1"/>
  <c r="K10" s="1"/>
  <c r="H11" s="1"/>
  <c r="I11" l="1"/>
  <c r="K11" s="1"/>
  <c r="H12"/>
  <c r="I12" l="1"/>
  <c r="K12" s="1"/>
  <c r="H13"/>
  <c r="I13" l="1"/>
  <c r="K13" s="1"/>
  <c r="H14" s="1"/>
  <c r="I14" l="1"/>
  <c r="K14" s="1"/>
  <c r="H15" s="1"/>
  <c r="I15" l="1"/>
  <c r="K15" s="1"/>
  <c r="H16"/>
  <c r="I16" l="1"/>
  <c r="K16" s="1"/>
  <c r="H17" s="1"/>
  <c r="I17" s="1"/>
  <c r="K17" s="1"/>
</calcChain>
</file>

<file path=xl/sharedStrings.xml><?xml version="1.0" encoding="utf-8"?>
<sst xmlns="http://schemas.openxmlformats.org/spreadsheetml/2006/main" count="30" uniqueCount="27">
  <si>
    <t>Kapitalni troškovi</t>
  </si>
  <si>
    <t>Snaga PV sistema</t>
  </si>
  <si>
    <t xml:space="preserve">Godišnja proizvodnja </t>
  </si>
  <si>
    <t>Pad proizvodnje</t>
  </si>
  <si>
    <t>Optimalni ugao</t>
  </si>
  <si>
    <t>Eksploatacija i održavanje</t>
  </si>
  <si>
    <t>Kamata</t>
  </si>
  <si>
    <t xml:space="preserve">Broj godina </t>
  </si>
  <si>
    <t>Investicija</t>
  </si>
  <si>
    <t>M&amp;O</t>
  </si>
  <si>
    <t>Zagarantovana cijena</t>
  </si>
  <si>
    <t>Rata kredita</t>
  </si>
  <si>
    <t>KM/kW</t>
  </si>
  <si>
    <t>kW</t>
  </si>
  <si>
    <t>kWh</t>
  </si>
  <si>
    <t>KM</t>
  </si>
  <si>
    <t>KM/kWh</t>
  </si>
  <si>
    <t>Godina</t>
  </si>
  <si>
    <t>Proizvodnja [kWh]</t>
  </si>
  <si>
    <t>Dug[KM]</t>
  </si>
  <si>
    <t>Kamata[KM]</t>
  </si>
  <si>
    <t>Rata[KM]</t>
  </si>
  <si>
    <t>Otplata[KM]</t>
  </si>
  <si>
    <t>Eks. I odrzavanje</t>
  </si>
  <si>
    <t>Proizvodnja[KM]</t>
  </si>
  <si>
    <t>Zarada[KM]</t>
  </si>
  <si>
    <t>Tržišna cijena</t>
  </si>
</sst>
</file>

<file path=xl/styles.xml><?xml version="1.0" encoding="utf-8"?>
<styleSheet xmlns="http://schemas.openxmlformats.org/spreadsheetml/2006/main">
  <numFmts count="1">
    <numFmt numFmtId="8" formatCode="#,##0.00\ &quot;KM&quot;;[Red]\-#,##0.00\ &quot;KM&quot;"/>
  </numFmts>
  <fonts count="1">
    <font>
      <sz val="11"/>
      <color theme="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10" fontId="0" fillId="3" borderId="0" xfId="0" applyNumberFormat="1" applyFill="1"/>
    <xf numFmtId="0" fontId="0" fillId="3" borderId="0" xfId="0" applyNumberFormat="1" applyFill="1"/>
    <xf numFmtId="8" fontId="0" fillId="3" borderId="0" xfId="0" applyNumberFormat="1" applyFill="1"/>
    <xf numFmtId="0" fontId="0" fillId="4" borderId="0" xfId="0" applyFill="1"/>
    <xf numFmtId="0" fontId="0" fillId="5" borderId="0" xfId="0" applyFill="1"/>
    <xf numFmtId="2" fontId="0" fillId="6" borderId="0" xfId="0" applyNumberFormat="1" applyFill="1"/>
    <xf numFmtId="0" fontId="0" fillId="7" borderId="0" xfId="0" applyFill="1"/>
    <xf numFmtId="2" fontId="0" fillId="8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N29"/>
  <sheetViews>
    <sheetView tabSelected="1" workbookViewId="0">
      <selection activeCell="O29" sqref="O29"/>
    </sheetView>
  </sheetViews>
  <sheetFormatPr defaultRowHeight="15"/>
  <cols>
    <col min="2" max="2" width="24.85546875" customWidth="1"/>
    <col min="3" max="3" width="12.140625" bestFit="1" customWidth="1"/>
    <col min="7" max="7" width="18" customWidth="1"/>
    <col min="8" max="9" width="12.140625" customWidth="1"/>
    <col min="10" max="10" width="11.5703125" customWidth="1"/>
    <col min="11" max="11" width="12.42578125" customWidth="1"/>
    <col min="12" max="12" width="16.42578125" customWidth="1"/>
    <col min="13" max="13" width="17.85546875" customWidth="1"/>
    <col min="14" max="14" width="12" customWidth="1"/>
  </cols>
  <sheetData>
    <row r="2" spans="2:14">
      <c r="B2" s="1" t="s">
        <v>0</v>
      </c>
      <c r="C2" s="2">
        <v>2000</v>
      </c>
      <c r="D2" s="6" t="s">
        <v>12</v>
      </c>
      <c r="F2" s="7" t="s">
        <v>17</v>
      </c>
      <c r="G2" s="7" t="s">
        <v>18</v>
      </c>
      <c r="H2" s="7" t="s">
        <v>19</v>
      </c>
      <c r="I2" s="7" t="s">
        <v>20</v>
      </c>
      <c r="J2" s="7" t="s">
        <v>21</v>
      </c>
      <c r="K2" s="7" t="s">
        <v>22</v>
      </c>
      <c r="L2" s="7" t="s">
        <v>23</v>
      </c>
      <c r="M2" s="7" t="s">
        <v>24</v>
      </c>
      <c r="N2" s="7" t="s">
        <v>25</v>
      </c>
    </row>
    <row r="3" spans="2:14">
      <c r="B3" s="1" t="s">
        <v>1</v>
      </c>
      <c r="C3" s="2">
        <v>34</v>
      </c>
      <c r="D3" s="6" t="s">
        <v>13</v>
      </c>
      <c r="F3" s="9">
        <v>1</v>
      </c>
      <c r="G3" s="10">
        <v>37456</v>
      </c>
      <c r="H3" s="10">
        <v>68000</v>
      </c>
      <c r="I3" s="10">
        <f>H3*$C$8</f>
        <v>3808</v>
      </c>
      <c r="J3" s="10">
        <v>6819.64</v>
      </c>
      <c r="K3" s="10">
        <f>J3-I3</f>
        <v>3011.6400000000003</v>
      </c>
      <c r="L3" s="10">
        <v>680</v>
      </c>
      <c r="M3" s="10">
        <f>G3*$C$12</f>
        <v>8206.6095999999998</v>
      </c>
      <c r="N3" s="10">
        <f>M3-J3-L3</f>
        <v>706.96959999999945</v>
      </c>
    </row>
    <row r="4" spans="2:14">
      <c r="B4" s="1" t="s">
        <v>2</v>
      </c>
      <c r="C4" s="2">
        <v>37456</v>
      </c>
      <c r="D4" s="6" t="s">
        <v>14</v>
      </c>
      <c r="F4" s="9">
        <v>2</v>
      </c>
      <c r="G4" s="10">
        <f>G3-G3*$C$5</f>
        <v>37193.807999999997</v>
      </c>
      <c r="H4" s="10">
        <f>H3-K3</f>
        <v>64988.36</v>
      </c>
      <c r="I4" s="10">
        <f>H4*$C$8</f>
        <v>3639.34816</v>
      </c>
      <c r="J4" s="10">
        <v>6819.64</v>
      </c>
      <c r="K4" s="10">
        <f>J4-I4</f>
        <v>3180.2918400000003</v>
      </c>
      <c r="L4" s="10">
        <v>680</v>
      </c>
      <c r="M4" s="10">
        <f t="shared" ref="M4:M27" si="0">G4*$C$12</f>
        <v>8149.1633327999989</v>
      </c>
      <c r="N4" s="10">
        <f t="shared" ref="N4:N27" si="1">M4-J4-L4</f>
        <v>649.52333279999857</v>
      </c>
    </row>
    <row r="5" spans="2:14">
      <c r="B5" s="1" t="s">
        <v>3</v>
      </c>
      <c r="C5" s="3">
        <v>7.0000000000000001E-3</v>
      </c>
      <c r="D5" s="6"/>
      <c r="F5" s="9">
        <v>3</v>
      </c>
      <c r="G5" s="10">
        <f>G4-G4*$C$5</f>
        <v>36933.451343999994</v>
      </c>
      <c r="H5" s="10">
        <f>H4-K4</f>
        <v>61808.068160000003</v>
      </c>
      <c r="I5" s="10">
        <f>H5*$C$8</f>
        <v>3461.2518169600003</v>
      </c>
      <c r="J5" s="10">
        <v>6819.64</v>
      </c>
      <c r="K5" s="10">
        <f>J5-I5</f>
        <v>3358.3881830400001</v>
      </c>
      <c r="L5" s="10">
        <v>680</v>
      </c>
      <c r="M5" s="10">
        <f t="shared" si="0"/>
        <v>8092.1191894703979</v>
      </c>
      <c r="N5" s="10">
        <f t="shared" si="1"/>
        <v>592.47918947039761</v>
      </c>
    </row>
    <row r="6" spans="2:14">
      <c r="B6" s="1" t="s">
        <v>4</v>
      </c>
      <c r="C6" s="2">
        <v>33</v>
      </c>
      <c r="D6" s="6"/>
      <c r="F6" s="9">
        <v>4</v>
      </c>
      <c r="G6" s="10">
        <f t="shared" ref="G6:G27" si="2">G5-G5*$C$5</f>
        <v>36674.917184591992</v>
      </c>
      <c r="H6" s="10">
        <f t="shared" ref="H6:H17" si="3">H5-K5</f>
        <v>58449.679976960004</v>
      </c>
      <c r="I6" s="10">
        <f t="shared" ref="I6:I17" si="4">H6*$C$8</f>
        <v>3273.1820787097604</v>
      </c>
      <c r="J6" s="10">
        <v>6819.64</v>
      </c>
      <c r="K6" s="10">
        <f t="shared" ref="K6:K17" si="5">J6-I6</f>
        <v>3546.4579212902399</v>
      </c>
      <c r="L6" s="10">
        <v>680</v>
      </c>
      <c r="M6" s="10">
        <f t="shared" si="0"/>
        <v>8035.4743551441052</v>
      </c>
      <c r="N6" s="10">
        <f t="shared" si="1"/>
        <v>535.83435514410485</v>
      </c>
    </row>
    <row r="7" spans="2:14">
      <c r="B7" s="1" t="s">
        <v>5</v>
      </c>
      <c r="C7" s="3">
        <v>0.01</v>
      </c>
      <c r="D7" s="6"/>
      <c r="F7" s="9">
        <v>5</v>
      </c>
      <c r="G7" s="10">
        <f t="shared" si="2"/>
        <v>36418.192764299849</v>
      </c>
      <c r="H7" s="10">
        <f t="shared" si="3"/>
        <v>54903.222055669765</v>
      </c>
      <c r="I7" s="10">
        <f t="shared" si="4"/>
        <v>3074.580435117507</v>
      </c>
      <c r="J7" s="10">
        <v>6819.64</v>
      </c>
      <c r="K7" s="10">
        <f t="shared" si="5"/>
        <v>3745.0595648824933</v>
      </c>
      <c r="L7" s="10">
        <v>680</v>
      </c>
      <c r="M7" s="10">
        <f t="shared" si="0"/>
        <v>7979.2260346580961</v>
      </c>
      <c r="N7" s="10">
        <f t="shared" si="1"/>
        <v>479.58603465809574</v>
      </c>
    </row>
    <row r="8" spans="2:14">
      <c r="B8" s="1" t="s">
        <v>6</v>
      </c>
      <c r="C8" s="3">
        <v>5.6000000000000001E-2</v>
      </c>
      <c r="D8" s="6"/>
      <c r="F8" s="9">
        <v>6</v>
      </c>
      <c r="G8" s="10">
        <f t="shared" si="2"/>
        <v>36163.265414949747</v>
      </c>
      <c r="H8" s="10">
        <f t="shared" si="3"/>
        <v>51158.162490787268</v>
      </c>
      <c r="I8" s="10">
        <f t="shared" si="4"/>
        <v>2864.857099484087</v>
      </c>
      <c r="J8" s="10">
        <v>6819.64</v>
      </c>
      <c r="K8" s="10">
        <f t="shared" si="5"/>
        <v>3954.7829005159133</v>
      </c>
      <c r="L8" s="10">
        <v>680</v>
      </c>
      <c r="M8" s="10">
        <f t="shared" si="0"/>
        <v>7923.3714524154893</v>
      </c>
      <c r="N8" s="10">
        <f t="shared" si="1"/>
        <v>423.731452415489</v>
      </c>
    </row>
    <row r="9" spans="2:14">
      <c r="B9" s="1" t="s">
        <v>7</v>
      </c>
      <c r="C9" s="4">
        <v>15</v>
      </c>
      <c r="D9" s="6"/>
      <c r="F9" s="9">
        <v>7</v>
      </c>
      <c r="G9" s="10">
        <f t="shared" si="2"/>
        <v>35910.122557045099</v>
      </c>
      <c r="H9" s="10">
        <f t="shared" si="3"/>
        <v>47203.379590271354</v>
      </c>
      <c r="I9" s="10">
        <f t="shared" si="4"/>
        <v>2643.3892570551957</v>
      </c>
      <c r="J9" s="10">
        <v>6819.64</v>
      </c>
      <c r="K9" s="10">
        <f t="shared" si="5"/>
        <v>4176.2507429448051</v>
      </c>
      <c r="L9" s="10">
        <v>680</v>
      </c>
      <c r="M9" s="10">
        <f t="shared" si="0"/>
        <v>7867.9078522485806</v>
      </c>
      <c r="N9" s="10">
        <f t="shared" si="1"/>
        <v>368.26785224858031</v>
      </c>
    </row>
    <row r="10" spans="2:14">
      <c r="B10" s="1" t="s">
        <v>8</v>
      </c>
      <c r="C10" s="4">
        <v>68000</v>
      </c>
      <c r="D10" s="6" t="s">
        <v>15</v>
      </c>
      <c r="F10" s="9">
        <v>8</v>
      </c>
      <c r="G10" s="10">
        <f t="shared" si="2"/>
        <v>35658.751699145781</v>
      </c>
      <c r="H10" s="10">
        <f t="shared" si="3"/>
        <v>43027.128847326545</v>
      </c>
      <c r="I10" s="10">
        <f t="shared" si="4"/>
        <v>2409.5192154502865</v>
      </c>
      <c r="J10" s="10">
        <v>6819.64</v>
      </c>
      <c r="K10" s="10">
        <f t="shared" si="5"/>
        <v>4410.1207845497138</v>
      </c>
      <c r="L10" s="10">
        <v>680</v>
      </c>
      <c r="M10" s="10">
        <f t="shared" si="0"/>
        <v>7812.8324972828404</v>
      </c>
      <c r="N10" s="10">
        <f t="shared" si="1"/>
        <v>313.19249728284012</v>
      </c>
    </row>
    <row r="11" spans="2:14">
      <c r="B11" s="1" t="s">
        <v>9</v>
      </c>
      <c r="C11" s="4">
        <v>680</v>
      </c>
      <c r="D11" s="6" t="s">
        <v>15</v>
      </c>
      <c r="F11" s="9">
        <v>9</v>
      </c>
      <c r="G11" s="10">
        <f t="shared" si="2"/>
        <v>35409.140437251765</v>
      </c>
      <c r="H11" s="10">
        <f t="shared" si="3"/>
        <v>38617.008062776833</v>
      </c>
      <c r="I11" s="10">
        <f t="shared" si="4"/>
        <v>2162.5524515155025</v>
      </c>
      <c r="J11" s="10">
        <v>6819.64</v>
      </c>
      <c r="K11" s="10">
        <f t="shared" si="5"/>
        <v>4657.0875484844983</v>
      </c>
      <c r="L11" s="10">
        <v>680</v>
      </c>
      <c r="M11" s="10">
        <f t="shared" si="0"/>
        <v>7758.1426698018613</v>
      </c>
      <c r="N11" s="10">
        <f t="shared" si="1"/>
        <v>258.50266980186097</v>
      </c>
    </row>
    <row r="12" spans="2:14">
      <c r="B12" s="1" t="s">
        <v>10</v>
      </c>
      <c r="C12" s="4">
        <v>0.21909999999999999</v>
      </c>
      <c r="D12" s="6" t="s">
        <v>16</v>
      </c>
      <c r="F12" s="9">
        <v>10</v>
      </c>
      <c r="G12" s="10">
        <f t="shared" si="2"/>
        <v>35161.276454191</v>
      </c>
      <c r="H12" s="10">
        <f t="shared" si="3"/>
        <v>33959.920514292331</v>
      </c>
      <c r="I12" s="10">
        <f t="shared" si="4"/>
        <v>1901.7555488003707</v>
      </c>
      <c r="J12" s="10">
        <v>6819.64</v>
      </c>
      <c r="K12" s="10">
        <f t="shared" si="5"/>
        <v>4917.8844511996294</v>
      </c>
      <c r="L12" s="10">
        <v>680</v>
      </c>
      <c r="M12" s="10">
        <f t="shared" si="0"/>
        <v>7703.8356711132474</v>
      </c>
      <c r="N12" s="10">
        <f t="shared" si="1"/>
        <v>204.19567111324704</v>
      </c>
    </row>
    <row r="13" spans="2:14">
      <c r="B13" s="1" t="s">
        <v>11</v>
      </c>
      <c r="C13" s="5">
        <f>-PMT(C8,C9,C10)</f>
        <v>6819.6352774656061</v>
      </c>
      <c r="D13" s="6" t="s">
        <v>15</v>
      </c>
      <c r="F13" s="9">
        <v>11</v>
      </c>
      <c r="G13" s="10">
        <f t="shared" si="2"/>
        <v>34915.147519011662</v>
      </c>
      <c r="H13" s="10">
        <f t="shared" si="3"/>
        <v>29042.036063092703</v>
      </c>
      <c r="I13" s="10">
        <f t="shared" si="4"/>
        <v>1626.3540195331914</v>
      </c>
      <c r="J13" s="10">
        <v>6819.64</v>
      </c>
      <c r="K13" s="10">
        <f t="shared" si="5"/>
        <v>5193.2859804668087</v>
      </c>
      <c r="L13" s="10">
        <v>680</v>
      </c>
      <c r="M13" s="10">
        <f t="shared" si="0"/>
        <v>7649.9088214154544</v>
      </c>
      <c r="N13" s="10">
        <f t="shared" si="1"/>
        <v>150.26882141545411</v>
      </c>
    </row>
    <row r="14" spans="2:14">
      <c r="B14" s="1" t="s">
        <v>26</v>
      </c>
      <c r="C14" s="2">
        <v>8.9599999999999999E-2</v>
      </c>
      <c r="D14" s="6" t="s">
        <v>16</v>
      </c>
      <c r="F14" s="9">
        <v>12</v>
      </c>
      <c r="G14" s="10">
        <f t="shared" si="2"/>
        <v>34670.741486378582</v>
      </c>
      <c r="H14" s="10">
        <f t="shared" si="3"/>
        <v>23848.750082625895</v>
      </c>
      <c r="I14" s="10">
        <f t="shared" si="4"/>
        <v>1335.5300046270502</v>
      </c>
      <c r="J14" s="10">
        <v>6819.64</v>
      </c>
      <c r="K14" s="10">
        <f t="shared" si="5"/>
        <v>5484.1099953729499</v>
      </c>
      <c r="L14" s="10">
        <v>680</v>
      </c>
      <c r="M14" s="10">
        <f t="shared" si="0"/>
        <v>7596.3594596655466</v>
      </c>
      <c r="N14" s="10">
        <f t="shared" si="1"/>
        <v>96.71945966554631</v>
      </c>
    </row>
    <row r="15" spans="2:14">
      <c r="F15" s="9">
        <v>13</v>
      </c>
      <c r="G15" s="10">
        <f t="shared" si="2"/>
        <v>34428.046295973931</v>
      </c>
      <c r="H15" s="10">
        <f t="shared" si="3"/>
        <v>18364.640087252945</v>
      </c>
      <c r="I15" s="10">
        <f t="shared" si="4"/>
        <v>1028.419844886165</v>
      </c>
      <c r="J15" s="10">
        <v>6819.64</v>
      </c>
      <c r="K15" s="10">
        <f t="shared" si="5"/>
        <v>5791.2201551138351</v>
      </c>
      <c r="L15" s="10">
        <v>680</v>
      </c>
      <c r="M15" s="10">
        <f t="shared" si="0"/>
        <v>7543.1849434478881</v>
      </c>
      <c r="N15" s="10">
        <f t="shared" si="1"/>
        <v>43.544943447887817</v>
      </c>
    </row>
    <row r="16" spans="2:14">
      <c r="F16" s="9">
        <v>14</v>
      </c>
      <c r="G16" s="10">
        <f t="shared" si="2"/>
        <v>34187.04997190211</v>
      </c>
      <c r="H16" s="10">
        <f t="shared" si="3"/>
        <v>12573.41993213911</v>
      </c>
      <c r="I16" s="10">
        <f t="shared" si="4"/>
        <v>704.11151619979012</v>
      </c>
      <c r="J16" s="10">
        <v>6819.64</v>
      </c>
      <c r="K16" s="10">
        <f t="shared" si="5"/>
        <v>6115.5284838002099</v>
      </c>
      <c r="L16" s="10">
        <v>680</v>
      </c>
      <c r="M16" s="10">
        <f t="shared" si="0"/>
        <v>7490.3826488437517</v>
      </c>
      <c r="N16" s="10">
        <f t="shared" si="1"/>
        <v>-9.2573511562486601</v>
      </c>
    </row>
    <row r="17" spans="6:14">
      <c r="F17" s="9">
        <v>15</v>
      </c>
      <c r="G17" s="10">
        <f t="shared" si="2"/>
        <v>33947.740622098798</v>
      </c>
      <c r="H17" s="10">
        <f t="shared" si="3"/>
        <v>6457.8914483388999</v>
      </c>
      <c r="I17" s="10">
        <f t="shared" si="4"/>
        <v>361.64192110697837</v>
      </c>
      <c r="J17" s="10">
        <v>6819.64</v>
      </c>
      <c r="K17" s="10">
        <f t="shared" si="5"/>
        <v>6457.9980788930216</v>
      </c>
      <c r="L17" s="10">
        <v>680</v>
      </c>
      <c r="M17" s="10">
        <f t="shared" si="0"/>
        <v>7437.9499703018464</v>
      </c>
      <c r="N17" s="10">
        <f t="shared" si="1"/>
        <v>-61.690029698153921</v>
      </c>
    </row>
    <row r="18" spans="6:14">
      <c r="F18" s="9">
        <v>16</v>
      </c>
      <c r="G18" s="10">
        <f t="shared" si="2"/>
        <v>33710.106437744107</v>
      </c>
      <c r="H18" s="10">
        <v>0</v>
      </c>
      <c r="I18" s="10">
        <v>0</v>
      </c>
      <c r="J18" s="10">
        <v>0</v>
      </c>
      <c r="K18" s="10">
        <v>0</v>
      </c>
      <c r="L18" s="10">
        <v>680</v>
      </c>
      <c r="M18" s="10">
        <f>G18*$C$14</f>
        <v>3020.4255368218719</v>
      </c>
      <c r="N18" s="10">
        <f t="shared" si="1"/>
        <v>2340.4255368218719</v>
      </c>
    </row>
    <row r="19" spans="6:14">
      <c r="F19" s="9">
        <v>17</v>
      </c>
      <c r="G19" s="10">
        <f t="shared" si="2"/>
        <v>33474.135692679898</v>
      </c>
      <c r="H19" s="10">
        <v>0</v>
      </c>
      <c r="I19" s="10">
        <v>0</v>
      </c>
      <c r="J19" s="10">
        <v>0</v>
      </c>
      <c r="K19" s="10">
        <v>0</v>
      </c>
      <c r="L19" s="10">
        <v>680</v>
      </c>
      <c r="M19" s="10">
        <f t="shared" ref="M19:M27" si="6">G19*$C$14</f>
        <v>2999.2825580641188</v>
      </c>
      <c r="N19" s="10">
        <f t="shared" si="1"/>
        <v>2319.2825580641188</v>
      </c>
    </row>
    <row r="20" spans="6:14">
      <c r="F20" s="9">
        <v>18</v>
      </c>
      <c r="G20" s="10">
        <f t="shared" si="2"/>
        <v>33239.816742831135</v>
      </c>
      <c r="H20" s="10">
        <v>0</v>
      </c>
      <c r="I20" s="10">
        <v>0</v>
      </c>
      <c r="J20" s="10">
        <v>0</v>
      </c>
      <c r="K20" s="10">
        <v>0</v>
      </c>
      <c r="L20" s="10">
        <v>680</v>
      </c>
      <c r="M20" s="10">
        <f t="shared" si="6"/>
        <v>2978.2875801576697</v>
      </c>
      <c r="N20" s="10">
        <f t="shared" si="1"/>
        <v>2298.2875801576697</v>
      </c>
    </row>
    <row r="21" spans="6:14">
      <c r="F21" s="9">
        <v>19</v>
      </c>
      <c r="G21" s="10">
        <f t="shared" si="2"/>
        <v>33007.13802563132</v>
      </c>
      <c r="H21" s="10">
        <v>0</v>
      </c>
      <c r="I21" s="10">
        <v>0</v>
      </c>
      <c r="J21" s="10">
        <v>0</v>
      </c>
      <c r="K21" s="10">
        <v>0</v>
      </c>
      <c r="L21" s="10">
        <v>680</v>
      </c>
      <c r="M21" s="10">
        <f t="shared" si="6"/>
        <v>2957.4395670965664</v>
      </c>
      <c r="N21" s="10">
        <f t="shared" si="1"/>
        <v>2277.4395670965664</v>
      </c>
    </row>
    <row r="22" spans="6:14">
      <c r="F22" s="9">
        <v>20</v>
      </c>
      <c r="G22" s="10">
        <f t="shared" si="2"/>
        <v>32776.088059451904</v>
      </c>
      <c r="H22" s="10">
        <v>0</v>
      </c>
      <c r="I22" s="10">
        <v>0</v>
      </c>
      <c r="J22" s="10">
        <v>0</v>
      </c>
      <c r="K22" s="10">
        <v>0</v>
      </c>
      <c r="L22" s="10">
        <v>680</v>
      </c>
      <c r="M22" s="10">
        <f t="shared" si="6"/>
        <v>2936.7374901268904</v>
      </c>
      <c r="N22" s="10">
        <f t="shared" si="1"/>
        <v>2256.7374901268904</v>
      </c>
    </row>
    <row r="23" spans="6:14">
      <c r="F23" s="9">
        <v>21</v>
      </c>
      <c r="G23" s="10">
        <f t="shared" si="2"/>
        <v>32546.655443035739</v>
      </c>
      <c r="H23" s="10">
        <v>0</v>
      </c>
      <c r="I23" s="10">
        <v>0</v>
      </c>
      <c r="J23" s="10">
        <v>0</v>
      </c>
      <c r="K23" s="10">
        <v>0</v>
      </c>
      <c r="L23" s="10">
        <v>680</v>
      </c>
      <c r="M23" s="10">
        <f t="shared" si="6"/>
        <v>2916.1803276960022</v>
      </c>
      <c r="N23" s="10">
        <f t="shared" si="1"/>
        <v>2236.1803276960022</v>
      </c>
    </row>
    <row r="24" spans="6:14">
      <c r="F24" s="9">
        <v>22</v>
      </c>
      <c r="G24" s="10">
        <f t="shared" si="2"/>
        <v>32318.828854934491</v>
      </c>
      <c r="H24" s="10">
        <v>0</v>
      </c>
      <c r="I24" s="10">
        <v>0</v>
      </c>
      <c r="J24" s="10">
        <v>0</v>
      </c>
      <c r="K24" s="10">
        <v>0</v>
      </c>
      <c r="L24" s="10">
        <v>680</v>
      </c>
      <c r="M24" s="10">
        <f t="shared" si="6"/>
        <v>2895.7670654021304</v>
      </c>
      <c r="N24" s="10">
        <f t="shared" si="1"/>
        <v>2215.7670654021304</v>
      </c>
    </row>
    <row r="25" spans="6:14">
      <c r="F25" s="9">
        <v>23</v>
      </c>
      <c r="G25" s="10">
        <f t="shared" si="2"/>
        <v>32092.59705294995</v>
      </c>
      <c r="H25" s="10">
        <v>0</v>
      </c>
      <c r="I25" s="10">
        <v>0</v>
      </c>
      <c r="J25" s="10">
        <v>0</v>
      </c>
      <c r="K25" s="10">
        <v>0</v>
      </c>
      <c r="L25" s="10">
        <v>680</v>
      </c>
      <c r="M25" s="10">
        <f t="shared" si="6"/>
        <v>2875.4966959443154</v>
      </c>
      <c r="N25" s="10">
        <f t="shared" si="1"/>
        <v>2195.4966959443154</v>
      </c>
    </row>
    <row r="26" spans="6:14">
      <c r="F26" s="9">
        <v>24</v>
      </c>
      <c r="G26" s="10">
        <f t="shared" si="2"/>
        <v>31867.948873579302</v>
      </c>
      <c r="H26" s="10">
        <v>0</v>
      </c>
      <c r="I26" s="10">
        <v>0</v>
      </c>
      <c r="J26" s="10">
        <v>0</v>
      </c>
      <c r="K26" s="10">
        <v>0</v>
      </c>
      <c r="L26" s="10">
        <v>680</v>
      </c>
      <c r="M26" s="10">
        <f t="shared" si="6"/>
        <v>2855.3682190727054</v>
      </c>
      <c r="N26" s="10">
        <f t="shared" si="1"/>
        <v>2175.3682190727054</v>
      </c>
    </row>
    <row r="27" spans="6:14">
      <c r="F27" s="9">
        <v>25</v>
      </c>
      <c r="G27" s="10">
        <f t="shared" si="2"/>
        <v>31644.873231464248</v>
      </c>
      <c r="H27" s="10">
        <v>0</v>
      </c>
      <c r="I27" s="10">
        <v>0</v>
      </c>
      <c r="J27" s="10">
        <v>0</v>
      </c>
      <c r="K27" s="10">
        <v>0</v>
      </c>
      <c r="L27" s="10">
        <v>680</v>
      </c>
      <c r="M27" s="10">
        <f t="shared" si="6"/>
        <v>2835.3806415391964</v>
      </c>
      <c r="N27" s="10">
        <f t="shared" si="1"/>
        <v>2155.3806415391964</v>
      </c>
    </row>
    <row r="29" spans="6:14">
      <c r="G29" s="8">
        <f t="shared" ref="G29:M29" si="7">SUM(G3:G27)</f>
        <v>861805.84016514255</v>
      </c>
      <c r="H29" s="8">
        <f t="shared" si="7"/>
        <v>612401.66731153359</v>
      </c>
      <c r="I29" s="8">
        <f t="shared" si="7"/>
        <v>34294.493369445889</v>
      </c>
      <c r="J29" s="8">
        <f t="shared" si="7"/>
        <v>102294.6</v>
      </c>
      <c r="K29" s="8">
        <f t="shared" si="7"/>
        <v>68000.106630554132</v>
      </c>
      <c r="L29" s="8">
        <f t="shared" si="7"/>
        <v>17000</v>
      </c>
      <c r="M29" s="8">
        <f t="shared" si="7"/>
        <v>146516.83418053057</v>
      </c>
      <c r="N29" s="8">
        <f>SUM(N3:N27)</f>
        <v>27222.234180530566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2020-04-24T21:01:42Z</dcterms:created>
  <dcterms:modified xsi:type="dcterms:W3CDTF">2020-04-29T20:14:15Z</dcterms:modified>
</cp:coreProperties>
</file>