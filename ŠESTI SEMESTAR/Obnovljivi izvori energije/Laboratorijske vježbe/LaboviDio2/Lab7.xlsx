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 activeTab="2"/>
  </bookViews>
  <sheets>
    <sheet name="Zadatak1" sheetId="1" r:id="rId1"/>
    <sheet name="Zadatak2" sheetId="2" r:id="rId2"/>
    <sheet name="Zadatak3" sheetId="3" r:id="rId3"/>
  </sheets>
  <definedNames>
    <definedName name="solver_adj" localSheetId="2" hidden="1">Zadatak3!$D$24</definedName>
    <definedName name="solver_cvg" localSheetId="2" hidden="1">0.0001</definedName>
    <definedName name="solver_drv" localSheetId="2" hidden="1">1</definedName>
    <definedName name="solver_est" localSheetId="2" hidden="1">1</definedName>
    <definedName name="solver_itr" localSheetId="2" hidden="1">100</definedName>
    <definedName name="solver_lin" localSheetId="2" hidden="1">2</definedName>
    <definedName name="solver_neg" localSheetId="2" hidden="1">2</definedName>
    <definedName name="solver_num" localSheetId="2" hidden="1">0</definedName>
    <definedName name="solver_nwt" localSheetId="2" hidden="1">1</definedName>
    <definedName name="solver_opt" localSheetId="2" hidden="1">Zadatak3!$G$24</definedName>
    <definedName name="solver_pre" localSheetId="2" hidden="1">0.000001</definedName>
    <definedName name="solver_scl" localSheetId="2" hidden="1">2</definedName>
    <definedName name="solver_sho" localSheetId="2" hidden="1">2</definedName>
    <definedName name="solver_tim" localSheetId="2" hidden="1">100</definedName>
    <definedName name="solver_tol" localSheetId="2" hidden="1">0.05</definedName>
    <definedName name="solver_typ" localSheetId="2" hidden="1">3</definedName>
    <definedName name="solver_val" localSheetId="2" hidden="1">0.1652</definedName>
  </definedNames>
  <calcPr calcId="125725"/>
</workbook>
</file>

<file path=xl/calcChain.xml><?xml version="1.0" encoding="utf-8"?>
<calcChain xmlns="http://schemas.openxmlformats.org/spreadsheetml/2006/main">
  <c r="E24" i="3"/>
  <c r="F24" s="1"/>
  <c r="G24" s="1"/>
  <c r="G3"/>
  <c r="G4"/>
  <c r="G5"/>
  <c r="G6"/>
  <c r="G7"/>
  <c r="G8"/>
  <c r="G9"/>
  <c r="G10"/>
  <c r="G11"/>
  <c r="G12"/>
  <c r="G13"/>
  <c r="G14"/>
  <c r="G15"/>
  <c r="G16"/>
  <c r="G17"/>
  <c r="G18"/>
  <c r="G19"/>
  <c r="G20"/>
  <c r="F3"/>
  <c r="F4"/>
  <c r="F5"/>
  <c r="F6"/>
  <c r="F7"/>
  <c r="F8"/>
  <c r="F9"/>
  <c r="F10"/>
  <c r="F11"/>
  <c r="F12"/>
  <c r="F13"/>
  <c r="F14"/>
  <c r="F15"/>
  <c r="F16"/>
  <c r="F17"/>
  <c r="F18"/>
  <c r="F19"/>
  <c r="F20"/>
  <c r="E3"/>
  <c r="E4"/>
  <c r="E5"/>
  <c r="E6"/>
  <c r="E7"/>
  <c r="E8"/>
  <c r="E9"/>
  <c r="E10"/>
  <c r="E11"/>
  <c r="E12"/>
  <c r="E13"/>
  <c r="E14"/>
  <c r="E15"/>
  <c r="E16"/>
  <c r="E17"/>
  <c r="E18"/>
  <c r="E19"/>
  <c r="E20"/>
  <c r="E2"/>
  <c r="F2" s="1"/>
  <c r="G2" s="1"/>
  <c r="B19"/>
  <c r="B20" s="1"/>
  <c r="B18"/>
  <c r="B17"/>
  <c r="B16"/>
  <c r="B13"/>
  <c r="B12"/>
  <c r="B11"/>
  <c r="B10"/>
  <c r="B5"/>
  <c r="E3" i="2"/>
  <c r="B9"/>
  <c r="J18"/>
  <c r="B10"/>
  <c r="J5" s="1"/>
  <c r="J6"/>
  <c r="J10"/>
  <c r="J14"/>
  <c r="J2"/>
  <c r="F2"/>
  <c r="E2"/>
  <c r="B8"/>
  <c r="B8" i="1"/>
  <c r="B7"/>
  <c r="B6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"/>
  <c r="B5"/>
  <c r="B4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"/>
  <c r="B3" s="1"/>
  <c r="J15" i="2" l="1"/>
  <c r="J11"/>
  <c r="J7"/>
  <c r="J3"/>
  <c r="J16"/>
  <c r="J12"/>
  <c r="J8"/>
  <c r="J4"/>
  <c r="J13"/>
  <c r="J9"/>
  <c r="I16"/>
  <c r="K16" s="1"/>
  <c r="I6"/>
  <c r="K6" s="1"/>
  <c r="G9"/>
  <c r="G10"/>
  <c r="G14"/>
  <c r="F3"/>
  <c r="I4"/>
  <c r="K4" s="1"/>
  <c r="I14"/>
  <c r="K14" s="1"/>
  <c r="G7"/>
  <c r="G8"/>
  <c r="I7"/>
  <c r="K7" s="1"/>
  <c r="G15"/>
  <c r="G12"/>
  <c r="I15"/>
  <c r="K15" s="1"/>
  <c r="G4" l="1"/>
  <c r="I13"/>
  <c r="K13" s="1"/>
  <c r="I9"/>
  <c r="K9" s="1"/>
  <c r="I2"/>
  <c r="I5"/>
  <c r="K5" s="1"/>
  <c r="I3"/>
  <c r="K3" s="1"/>
  <c r="G5"/>
  <c r="G3"/>
  <c r="H3" s="1"/>
  <c r="E4" s="1"/>
  <c r="G2"/>
  <c r="H2" s="1"/>
  <c r="G16"/>
  <c r="G11"/>
  <c r="I10"/>
  <c r="K10" s="1"/>
  <c r="I8"/>
  <c r="K8" s="1"/>
  <c r="I12"/>
  <c r="K12" s="1"/>
  <c r="G6"/>
  <c r="G13"/>
  <c r="I11"/>
  <c r="K11" s="1"/>
  <c r="F4" l="1"/>
  <c r="H4" s="1"/>
  <c r="E5" s="1"/>
  <c r="K2"/>
  <c r="I18"/>
  <c r="K18" s="1"/>
  <c r="E6" l="1"/>
  <c r="F5"/>
  <c r="H5" s="1"/>
  <c r="F6" l="1"/>
  <c r="H6" s="1"/>
  <c r="E7" s="1"/>
  <c r="F7" l="1"/>
  <c r="H7" s="1"/>
  <c r="E8" s="1"/>
  <c r="F8" l="1"/>
  <c r="H8" s="1"/>
  <c r="E9" s="1"/>
  <c r="E10" l="1"/>
  <c r="F9"/>
  <c r="H9" s="1"/>
  <c r="E11" l="1"/>
  <c r="F10"/>
  <c r="H10" s="1"/>
  <c r="F11" l="1"/>
  <c r="H11" s="1"/>
  <c r="E12" s="1"/>
  <c r="F12" l="1"/>
  <c r="H12" s="1"/>
  <c r="E13" s="1"/>
  <c r="F13" l="1"/>
  <c r="H13" s="1"/>
  <c r="E14" s="1"/>
  <c r="E15" l="1"/>
  <c r="F14"/>
  <c r="H14" s="1"/>
  <c r="F15" l="1"/>
  <c r="H15" s="1"/>
  <c r="E16" s="1"/>
  <c r="F16" l="1"/>
  <c r="H16" s="1"/>
  <c r="E17" s="1"/>
</calcChain>
</file>

<file path=xl/sharedStrings.xml><?xml version="1.0" encoding="utf-8"?>
<sst xmlns="http://schemas.openxmlformats.org/spreadsheetml/2006/main" count="60" uniqueCount="49">
  <si>
    <t>Gustina vazduha [kg/m^3]</t>
  </si>
  <si>
    <t>Precnik lopatica[m]</t>
  </si>
  <si>
    <t>v[m/s]</t>
  </si>
  <si>
    <t>t[h/god]</t>
  </si>
  <si>
    <t>P[kW]</t>
  </si>
  <si>
    <t>vsr[m/s]</t>
  </si>
  <si>
    <t>v*t</t>
  </si>
  <si>
    <t>veff[m/s]</t>
  </si>
  <si>
    <t>Psec[W]</t>
  </si>
  <si>
    <t>v^3*t</t>
  </si>
  <si>
    <t>P*t[kWh]</t>
  </si>
  <si>
    <t>Wg[kWh]</t>
  </si>
  <si>
    <t>Wv[kWh]</t>
  </si>
  <si>
    <t>Stepen iskoritstenja</t>
  </si>
  <si>
    <t>Pn[MW]</t>
  </si>
  <si>
    <t>Kapitalni troskovi [KM/MW]</t>
  </si>
  <si>
    <t>Rok otplate [god]</t>
  </si>
  <si>
    <t>Kamatna stopa</t>
  </si>
  <si>
    <t>Faktor opterecenja</t>
  </si>
  <si>
    <t>Cijena elektricne energije[KM/kWh]</t>
  </si>
  <si>
    <t>Troskovi rada I odrzavanja [KM]</t>
  </si>
  <si>
    <t>Investicija</t>
  </si>
  <si>
    <t>Rata kredita</t>
  </si>
  <si>
    <t>Proizvodnja energije[kWh]</t>
  </si>
  <si>
    <t>Dug [KM]</t>
  </si>
  <si>
    <t>Kamata [KM]</t>
  </si>
  <si>
    <t>Rata [KM]</t>
  </si>
  <si>
    <t>Godina</t>
  </si>
  <si>
    <t>Otplata [KM]</t>
  </si>
  <si>
    <t>Rashodi [KM]</t>
  </si>
  <si>
    <t>Prihodi [KM]</t>
  </si>
  <si>
    <t>Zarada [KM]</t>
  </si>
  <si>
    <t>Broj agregata</t>
  </si>
  <si>
    <t>Nominalna snaga agregata[MW]</t>
  </si>
  <si>
    <t>D [m]</t>
  </si>
  <si>
    <t>Investicioni troskovi [KM/kW]</t>
  </si>
  <si>
    <t>Trskovi rada I odrzavanja [KM/kW]</t>
  </si>
  <si>
    <t>Rok otplate kredite</t>
  </si>
  <si>
    <t>Investicija [KM]</t>
  </si>
  <si>
    <t>Godisnji povrat [%]</t>
  </si>
  <si>
    <t>Godisnji povrat [KM]</t>
  </si>
  <si>
    <t>Pocetna investicija [KM]</t>
  </si>
  <si>
    <t>Kredit [KM]</t>
  </si>
  <si>
    <t>Rata kredita [KM]</t>
  </si>
  <si>
    <t>k</t>
  </si>
  <si>
    <t>c</t>
  </si>
  <si>
    <t>CF</t>
  </si>
  <si>
    <t>LCOE</t>
  </si>
  <si>
    <t>Ukupni rashodi [KM]</t>
  </si>
</sst>
</file>

<file path=xl/styles.xml><?xml version="1.0" encoding="utf-8"?>
<styleSheet xmlns="http://schemas.openxmlformats.org/spreadsheetml/2006/main">
  <numFmts count="2">
    <numFmt numFmtId="8" formatCode="#,##0.00\ &quot;KM&quot;;[Red]\-#,##0.00\ &quot;KM&quot;"/>
    <numFmt numFmtId="165" formatCode="#,##0.0000\ &quot;KM&quot;;[Red]\-#,##0.0000\ &quot;KM&quot;"/>
  </numFmts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0" fontId="0" fillId="3" borderId="0" xfId="0" applyNumberFormat="1" applyFill="1"/>
    <xf numFmtId="8" fontId="0" fillId="3" borderId="0" xfId="0" applyNumberFormat="1" applyFill="1"/>
    <xf numFmtId="8" fontId="0" fillId="4" borderId="0" xfId="0" applyNumberFormat="1" applyFill="1"/>
    <xf numFmtId="165" fontId="0" fillId="4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>
        <c:manualLayout>
          <c:layoutTarget val="inner"/>
          <c:xMode val="edge"/>
          <c:yMode val="edge"/>
          <c:x val="0.17294685039370078"/>
          <c:y val="2.8252405949256341E-2"/>
          <c:w val="0.7963101487314086"/>
          <c:h val="0.73444808982210552"/>
        </c:manualLayout>
      </c:layout>
      <c:scatterChart>
        <c:scatterStyle val="lineMarker"/>
        <c:ser>
          <c:idx val="0"/>
          <c:order val="0"/>
          <c:marker>
            <c:symbol val="none"/>
          </c:marker>
          <c:xVal>
            <c:numRef>
              <c:f>Zadatak1!$D$2:$D$28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Zadatak1!$E$2:$E$28</c:f>
              <c:numCache>
                <c:formatCode>General</c:formatCode>
                <c:ptCount val="27"/>
                <c:pt idx="0">
                  <c:v>0</c:v>
                </c:pt>
                <c:pt idx="1">
                  <c:v>276</c:v>
                </c:pt>
                <c:pt idx="2">
                  <c:v>527</c:v>
                </c:pt>
                <c:pt idx="3">
                  <c:v>729</c:v>
                </c:pt>
                <c:pt idx="4">
                  <c:v>869</c:v>
                </c:pt>
                <c:pt idx="5">
                  <c:v>941</c:v>
                </c:pt>
                <c:pt idx="6">
                  <c:v>946</c:v>
                </c:pt>
                <c:pt idx="7">
                  <c:v>896</c:v>
                </c:pt>
                <c:pt idx="8">
                  <c:v>805</c:v>
                </c:pt>
                <c:pt idx="9">
                  <c:v>690</c:v>
                </c:pt>
                <c:pt idx="10">
                  <c:v>565</c:v>
                </c:pt>
                <c:pt idx="11">
                  <c:v>444</c:v>
                </c:pt>
                <c:pt idx="12">
                  <c:v>335</c:v>
                </c:pt>
                <c:pt idx="13">
                  <c:v>243</c:v>
                </c:pt>
                <c:pt idx="14">
                  <c:v>170</c:v>
                </c:pt>
                <c:pt idx="15">
                  <c:v>114</c:v>
                </c:pt>
                <c:pt idx="16">
                  <c:v>74</c:v>
                </c:pt>
                <c:pt idx="17">
                  <c:v>46</c:v>
                </c:pt>
                <c:pt idx="18">
                  <c:v>28</c:v>
                </c:pt>
                <c:pt idx="19">
                  <c:v>16</c:v>
                </c:pt>
                <c:pt idx="20">
                  <c:v>9</c:v>
                </c:pt>
                <c:pt idx="21">
                  <c:v>5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</c:ser>
        <c:axId val="66763008"/>
        <c:axId val="66761472"/>
      </c:scatterChart>
      <c:valAx>
        <c:axId val="66763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v[m/s]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66761472"/>
        <c:crosses val="autoZero"/>
        <c:crossBetween val="midCat"/>
      </c:valAx>
      <c:valAx>
        <c:axId val="6676147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t[h/god]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6676300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Zadatak1!$D$2:$D$28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Zadatak1!$F$2:$F$28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</c:v>
                </c:pt>
                <c:pt idx="5">
                  <c:v>86</c:v>
                </c:pt>
                <c:pt idx="6">
                  <c:v>150</c:v>
                </c:pt>
                <c:pt idx="7">
                  <c:v>248</c:v>
                </c:pt>
                <c:pt idx="8">
                  <c:v>385</c:v>
                </c:pt>
                <c:pt idx="9">
                  <c:v>535</c:v>
                </c:pt>
                <c:pt idx="10">
                  <c:v>670</c:v>
                </c:pt>
                <c:pt idx="11">
                  <c:v>780</c:v>
                </c:pt>
                <c:pt idx="12">
                  <c:v>864</c:v>
                </c:pt>
                <c:pt idx="13">
                  <c:v>924</c:v>
                </c:pt>
                <c:pt idx="14">
                  <c:v>964</c:v>
                </c:pt>
                <c:pt idx="15">
                  <c:v>989</c:v>
                </c:pt>
                <c:pt idx="16">
                  <c:v>1000</c:v>
                </c:pt>
                <c:pt idx="17">
                  <c:v>998</c:v>
                </c:pt>
                <c:pt idx="18">
                  <c:v>987</c:v>
                </c:pt>
                <c:pt idx="19">
                  <c:v>968</c:v>
                </c:pt>
                <c:pt idx="20">
                  <c:v>944</c:v>
                </c:pt>
                <c:pt idx="21">
                  <c:v>917</c:v>
                </c:pt>
                <c:pt idx="22">
                  <c:v>889</c:v>
                </c:pt>
                <c:pt idx="23">
                  <c:v>863</c:v>
                </c:pt>
                <c:pt idx="24">
                  <c:v>840</c:v>
                </c:pt>
                <c:pt idx="25">
                  <c:v>822</c:v>
                </c:pt>
                <c:pt idx="26">
                  <c:v>0</c:v>
                </c:pt>
              </c:numCache>
            </c:numRef>
          </c:yVal>
        </c:ser>
        <c:axId val="97598848"/>
        <c:axId val="97596544"/>
      </c:scatterChart>
      <c:valAx>
        <c:axId val="97598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v[m/s]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97596544"/>
        <c:crosses val="autoZero"/>
        <c:crossBetween val="midCat"/>
      </c:valAx>
      <c:valAx>
        <c:axId val="9759654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P[kW]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9759884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Zadatak3!$D$2:$D$20</c:f>
              <c:numCache>
                <c:formatCode>General</c:formatCode>
                <c:ptCount val="19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  <c:pt idx="11">
                  <c:v>10.5</c:v>
                </c:pt>
                <c:pt idx="12">
                  <c:v>11</c:v>
                </c:pt>
                <c:pt idx="13">
                  <c:v>11.5</c:v>
                </c:pt>
                <c:pt idx="14">
                  <c:v>12</c:v>
                </c:pt>
                <c:pt idx="15">
                  <c:v>12.5</c:v>
                </c:pt>
                <c:pt idx="16">
                  <c:v>13</c:v>
                </c:pt>
                <c:pt idx="17">
                  <c:v>13.5</c:v>
                </c:pt>
                <c:pt idx="18">
                  <c:v>14</c:v>
                </c:pt>
              </c:numCache>
            </c:numRef>
          </c:xVal>
          <c:yVal>
            <c:numRef>
              <c:f>Zadatak3!$G$2:$G$20</c:f>
              <c:numCache>
                <c:formatCode>#,##0.0000\ "KM";[Red]\-#,##0.0000\ "KM"</c:formatCode>
                <c:ptCount val="19"/>
                <c:pt idx="0">
                  <c:v>2.2097389970256964</c:v>
                </c:pt>
                <c:pt idx="1">
                  <c:v>0.65517867836341159</c:v>
                </c:pt>
                <c:pt idx="2">
                  <c:v>0.38460647100130629</c:v>
                </c:pt>
                <c:pt idx="3">
                  <c:v>0.27219629302668041</c:v>
                </c:pt>
                <c:pt idx="4">
                  <c:v>0.21063369988979688</c:v>
                </c:pt>
                <c:pt idx="5">
                  <c:v>0.17178183015747395</c:v>
                </c:pt>
                <c:pt idx="6">
                  <c:v>0.14503060243008689</c:v>
                </c:pt>
                <c:pt idx="7">
                  <c:v>0.12548853364627033</c:v>
                </c:pt>
                <c:pt idx="8">
                  <c:v>0.11058748392758219</c:v>
                </c:pt>
                <c:pt idx="9">
                  <c:v>9.8849650131283301E-2</c:v>
                </c:pt>
                <c:pt idx="10">
                  <c:v>8.9364444732656478E-2</c:v>
                </c:pt>
                <c:pt idx="11">
                  <c:v>8.1540184392091777E-2</c:v>
                </c:pt>
                <c:pt idx="12">
                  <c:v>7.4975721675763593E-2</c:v>
                </c:pt>
                <c:pt idx="13">
                  <c:v>6.9389463223758385E-2</c:v>
                </c:pt>
                <c:pt idx="14">
                  <c:v>6.4577919679284154E-2</c:v>
                </c:pt>
                <c:pt idx="15">
                  <c:v>6.0390382527410094E-2</c:v>
                </c:pt>
                <c:pt idx="16">
                  <c:v>5.6712853400099301E-2</c:v>
                </c:pt>
                <c:pt idx="17">
                  <c:v>5.3457508175242058E-2</c:v>
                </c:pt>
                <c:pt idx="18">
                  <c:v>5.0555592694015314E-2</c:v>
                </c:pt>
              </c:numCache>
            </c:numRef>
          </c:yVal>
        </c:ser>
        <c:axId val="68899584"/>
        <c:axId val="67054592"/>
      </c:scatterChart>
      <c:valAx>
        <c:axId val="68899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vsr[m/s]</a:t>
                </a:r>
              </a:p>
            </c:rich>
          </c:tx>
          <c:layout/>
        </c:title>
        <c:numFmt formatCode="General" sourceLinked="1"/>
        <c:tickLblPos val="nextTo"/>
        <c:crossAx val="67054592"/>
        <c:crosses val="autoZero"/>
        <c:crossBetween val="midCat"/>
      </c:valAx>
      <c:valAx>
        <c:axId val="670545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LCOE[KM/kWh]</a:t>
                </a:r>
              </a:p>
            </c:rich>
          </c:tx>
          <c:layout/>
        </c:title>
        <c:numFmt formatCode="#,##0.0000\ &quot;KM&quot;;[Red]\-#,##0.0000\ &quot;KM&quot;" sourceLinked="1"/>
        <c:tickLblPos val="nextTo"/>
        <c:crossAx val="6889958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Zadatak3!$E$2:$E$20</c:f>
              <c:numCache>
                <c:formatCode>General</c:formatCode>
                <c:ptCount val="19"/>
                <c:pt idx="0">
                  <c:v>1.8333333333333257E-2</c:v>
                </c:pt>
                <c:pt idx="1">
                  <c:v>6.1833333333333296E-2</c:v>
                </c:pt>
                <c:pt idx="2">
                  <c:v>0.10533333333333333</c:v>
                </c:pt>
                <c:pt idx="3">
                  <c:v>0.14883333333333332</c:v>
                </c:pt>
                <c:pt idx="4">
                  <c:v>0.1923333333333333</c:v>
                </c:pt>
                <c:pt idx="5">
                  <c:v>0.23583333333333328</c:v>
                </c:pt>
                <c:pt idx="6">
                  <c:v>0.27933333333333327</c:v>
                </c:pt>
                <c:pt idx="7">
                  <c:v>0.32283333333333325</c:v>
                </c:pt>
                <c:pt idx="8">
                  <c:v>0.36633333333333323</c:v>
                </c:pt>
                <c:pt idx="9">
                  <c:v>0.40983333333333322</c:v>
                </c:pt>
                <c:pt idx="10">
                  <c:v>0.4533333333333332</c:v>
                </c:pt>
                <c:pt idx="11">
                  <c:v>0.49683333333333329</c:v>
                </c:pt>
                <c:pt idx="12">
                  <c:v>0.54033333333333333</c:v>
                </c:pt>
                <c:pt idx="13">
                  <c:v>0.5838333333333332</c:v>
                </c:pt>
                <c:pt idx="14">
                  <c:v>0.6273333333333333</c:v>
                </c:pt>
                <c:pt idx="15">
                  <c:v>0.67083333333333317</c:v>
                </c:pt>
                <c:pt idx="16">
                  <c:v>0.71433333333333326</c:v>
                </c:pt>
                <c:pt idx="17">
                  <c:v>0.75783333333333314</c:v>
                </c:pt>
                <c:pt idx="18">
                  <c:v>0.80133333333333323</c:v>
                </c:pt>
              </c:numCache>
            </c:numRef>
          </c:xVal>
          <c:yVal>
            <c:numRef>
              <c:f>Zadatak3!$G$2:$G$20</c:f>
              <c:numCache>
                <c:formatCode>#,##0.0000\ "KM";[Red]\-#,##0.0000\ "KM"</c:formatCode>
                <c:ptCount val="19"/>
                <c:pt idx="0">
                  <c:v>2.2097389970256964</c:v>
                </c:pt>
                <c:pt idx="1">
                  <c:v>0.65517867836341159</c:v>
                </c:pt>
                <c:pt idx="2">
                  <c:v>0.38460647100130629</c:v>
                </c:pt>
                <c:pt idx="3">
                  <c:v>0.27219629302668041</c:v>
                </c:pt>
                <c:pt idx="4">
                  <c:v>0.21063369988979688</c:v>
                </c:pt>
                <c:pt idx="5">
                  <c:v>0.17178183015747395</c:v>
                </c:pt>
                <c:pt idx="6">
                  <c:v>0.14503060243008689</c:v>
                </c:pt>
                <c:pt idx="7">
                  <c:v>0.12548853364627033</c:v>
                </c:pt>
                <c:pt idx="8">
                  <c:v>0.11058748392758219</c:v>
                </c:pt>
                <c:pt idx="9">
                  <c:v>9.8849650131283301E-2</c:v>
                </c:pt>
                <c:pt idx="10">
                  <c:v>8.9364444732656478E-2</c:v>
                </c:pt>
                <c:pt idx="11">
                  <c:v>8.1540184392091777E-2</c:v>
                </c:pt>
                <c:pt idx="12">
                  <c:v>7.4975721675763593E-2</c:v>
                </c:pt>
                <c:pt idx="13">
                  <c:v>6.9389463223758385E-2</c:v>
                </c:pt>
                <c:pt idx="14">
                  <c:v>6.4577919679284154E-2</c:v>
                </c:pt>
                <c:pt idx="15">
                  <c:v>6.0390382527410094E-2</c:v>
                </c:pt>
                <c:pt idx="16">
                  <c:v>5.6712853400099301E-2</c:v>
                </c:pt>
                <c:pt idx="17">
                  <c:v>5.3457508175242058E-2</c:v>
                </c:pt>
                <c:pt idx="18">
                  <c:v>5.0555592694015314E-2</c:v>
                </c:pt>
              </c:numCache>
            </c:numRef>
          </c:yVal>
        </c:ser>
        <c:axId val="99084544"/>
        <c:axId val="98944128"/>
      </c:scatterChart>
      <c:valAx>
        <c:axId val="99084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CF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98944128"/>
        <c:crosses val="autoZero"/>
        <c:crossBetween val="midCat"/>
      </c:valAx>
      <c:valAx>
        <c:axId val="9894412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LCOE[KM/kWh]</a:t>
                </a:r>
              </a:p>
            </c:rich>
          </c:tx>
          <c:layout/>
        </c:title>
        <c:numFmt formatCode="#,##0.0000\ &quot;KM&quot;;[Red]\-#,##0.0000\ &quot;KM&quot;" sourceLinked="1"/>
        <c:tickLblPos val="nextTo"/>
        <c:crossAx val="9908454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0</xdr:row>
      <xdr:rowOff>85725</xdr:rowOff>
    </xdr:from>
    <xdr:to>
      <xdr:col>17</xdr:col>
      <xdr:colOff>238125</xdr:colOff>
      <xdr:row>14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581025</xdr:colOff>
      <xdr:row>15</xdr:row>
      <xdr:rowOff>28575</xdr:rowOff>
    </xdr:from>
    <xdr:to>
      <xdr:col>17</xdr:col>
      <xdr:colOff>276225</xdr:colOff>
      <xdr:row>29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0</xdr:row>
      <xdr:rowOff>142875</xdr:rowOff>
    </xdr:from>
    <xdr:to>
      <xdr:col>17</xdr:col>
      <xdr:colOff>152400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476250</xdr:colOff>
      <xdr:row>16</xdr:row>
      <xdr:rowOff>38100</xdr:rowOff>
    </xdr:from>
    <xdr:to>
      <xdr:col>17</xdr:col>
      <xdr:colOff>171450</xdr:colOff>
      <xdr:row>30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activeCell="B3" sqref="B3"/>
    </sheetView>
  </sheetViews>
  <sheetFormatPr defaultRowHeight="15"/>
  <cols>
    <col min="1" max="1" width="24.28515625" bestFit="1" customWidth="1"/>
  </cols>
  <sheetData>
    <row r="1" spans="1:9">
      <c r="A1" s="1" t="s">
        <v>0</v>
      </c>
      <c r="B1" s="2">
        <v>1.2250000000000001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9</v>
      </c>
      <c r="I1" s="1" t="s">
        <v>10</v>
      </c>
    </row>
    <row r="2" spans="1:9">
      <c r="A2" s="1" t="s">
        <v>1</v>
      </c>
      <c r="B2" s="2">
        <v>60</v>
      </c>
      <c r="D2" s="2">
        <v>0</v>
      </c>
      <c r="E2" s="2">
        <v>0</v>
      </c>
      <c r="F2" s="2">
        <v>0</v>
      </c>
      <c r="G2" s="2">
        <f>D2*E2</f>
        <v>0</v>
      </c>
      <c r="H2" s="2">
        <f>D2^3*E2</f>
        <v>0</v>
      </c>
      <c r="I2" s="2">
        <f>F2*E2</f>
        <v>0</v>
      </c>
    </row>
    <row r="3" spans="1:9">
      <c r="A3" s="1" t="s">
        <v>5</v>
      </c>
      <c r="B3" s="3">
        <f>SUM(G2:G28)/8760</f>
        <v>6.9944063926940636</v>
      </c>
      <c r="D3" s="2">
        <v>1</v>
      </c>
      <c r="E3" s="2">
        <v>276</v>
      </c>
      <c r="F3" s="2">
        <v>0</v>
      </c>
      <c r="G3" s="2">
        <f t="shared" ref="G3:G28" si="0">D3*E3</f>
        <v>276</v>
      </c>
      <c r="H3" s="2">
        <f t="shared" ref="H3:H28" si="1">D3^3*E3</f>
        <v>276</v>
      </c>
      <c r="I3" s="2">
        <f t="shared" ref="I3:I28" si="2">F3*E3</f>
        <v>0</v>
      </c>
    </row>
    <row r="4" spans="1:9">
      <c r="A4" s="1" t="s">
        <v>7</v>
      </c>
      <c r="B4" s="2">
        <f>(SUM(H2:H28)/8760)^(1/3)</f>
        <v>8.6768584561785804</v>
      </c>
      <c r="D4" s="2">
        <v>2</v>
      </c>
      <c r="E4" s="2">
        <v>527</v>
      </c>
      <c r="F4" s="2">
        <v>0</v>
      </c>
      <c r="G4" s="2">
        <f t="shared" si="0"/>
        <v>1054</v>
      </c>
      <c r="H4" s="2">
        <f t="shared" si="1"/>
        <v>4216</v>
      </c>
      <c r="I4" s="2">
        <f t="shared" si="2"/>
        <v>0</v>
      </c>
    </row>
    <row r="5" spans="1:9">
      <c r="A5" s="1" t="s">
        <v>8</v>
      </c>
      <c r="B5" s="3">
        <f>0.5*B1*B4^3</f>
        <v>400.12310644977129</v>
      </c>
      <c r="D5" s="2">
        <v>3</v>
      </c>
      <c r="E5" s="2">
        <v>729</v>
      </c>
      <c r="F5" s="2">
        <v>0</v>
      </c>
      <c r="G5" s="2">
        <f t="shared" si="0"/>
        <v>2187</v>
      </c>
      <c r="H5" s="2">
        <f t="shared" si="1"/>
        <v>19683</v>
      </c>
      <c r="I5" s="2">
        <f t="shared" si="2"/>
        <v>0</v>
      </c>
    </row>
    <row r="6" spans="1:9">
      <c r="A6" s="1" t="s">
        <v>11</v>
      </c>
      <c r="B6" s="3">
        <f>SUM(I2:I28)</f>
        <v>2848737</v>
      </c>
      <c r="D6" s="2">
        <v>4</v>
      </c>
      <c r="E6" s="2">
        <v>869</v>
      </c>
      <c r="F6" s="2">
        <v>33</v>
      </c>
      <c r="G6" s="2">
        <f t="shared" si="0"/>
        <v>3476</v>
      </c>
      <c r="H6" s="2">
        <f t="shared" si="1"/>
        <v>55616</v>
      </c>
      <c r="I6" s="2">
        <f t="shared" si="2"/>
        <v>28677</v>
      </c>
    </row>
    <row r="7" spans="1:9">
      <c r="A7" s="1" t="s">
        <v>12</v>
      </c>
      <c r="B7" s="2">
        <f>B5*B2^2*3.14159*8760*0.001/4</f>
        <v>9910367.3609332778</v>
      </c>
      <c r="D7" s="2">
        <v>5</v>
      </c>
      <c r="E7" s="2">
        <v>941</v>
      </c>
      <c r="F7" s="2">
        <v>86</v>
      </c>
      <c r="G7" s="2">
        <f t="shared" si="0"/>
        <v>4705</v>
      </c>
      <c r="H7" s="2">
        <f t="shared" si="1"/>
        <v>117625</v>
      </c>
      <c r="I7" s="2">
        <f t="shared" si="2"/>
        <v>80926</v>
      </c>
    </row>
    <row r="8" spans="1:9">
      <c r="A8" s="1" t="s">
        <v>13</v>
      </c>
      <c r="B8" s="3">
        <f>B6/B7</f>
        <v>0.28745019193029481</v>
      </c>
      <c r="D8" s="2">
        <v>6</v>
      </c>
      <c r="E8" s="2">
        <v>946</v>
      </c>
      <c r="F8" s="2">
        <v>150</v>
      </c>
      <c r="G8" s="2">
        <f t="shared" si="0"/>
        <v>5676</v>
      </c>
      <c r="H8" s="2">
        <f t="shared" si="1"/>
        <v>204336</v>
      </c>
      <c r="I8" s="2">
        <f t="shared" si="2"/>
        <v>141900</v>
      </c>
    </row>
    <row r="9" spans="1:9">
      <c r="D9" s="2">
        <v>7</v>
      </c>
      <c r="E9" s="2">
        <v>896</v>
      </c>
      <c r="F9" s="2">
        <v>248</v>
      </c>
      <c r="G9" s="2">
        <f t="shared" si="0"/>
        <v>6272</v>
      </c>
      <c r="H9" s="2">
        <f t="shared" si="1"/>
        <v>307328</v>
      </c>
      <c r="I9" s="2">
        <f t="shared" si="2"/>
        <v>222208</v>
      </c>
    </row>
    <row r="10" spans="1:9">
      <c r="D10" s="2">
        <v>8</v>
      </c>
      <c r="E10" s="2">
        <v>805</v>
      </c>
      <c r="F10" s="2">
        <v>385</v>
      </c>
      <c r="G10" s="2">
        <f t="shared" si="0"/>
        <v>6440</v>
      </c>
      <c r="H10" s="2">
        <f t="shared" si="1"/>
        <v>412160</v>
      </c>
      <c r="I10" s="2">
        <f t="shared" si="2"/>
        <v>309925</v>
      </c>
    </row>
    <row r="11" spans="1:9">
      <c r="D11" s="2">
        <v>9</v>
      </c>
      <c r="E11" s="2">
        <v>690</v>
      </c>
      <c r="F11" s="2">
        <v>535</v>
      </c>
      <c r="G11" s="2">
        <f t="shared" si="0"/>
        <v>6210</v>
      </c>
      <c r="H11" s="2">
        <f t="shared" si="1"/>
        <v>503010</v>
      </c>
      <c r="I11" s="2">
        <f t="shared" si="2"/>
        <v>369150</v>
      </c>
    </row>
    <row r="12" spans="1:9">
      <c r="D12" s="2">
        <v>10</v>
      </c>
      <c r="E12" s="2">
        <v>565</v>
      </c>
      <c r="F12" s="2">
        <v>670</v>
      </c>
      <c r="G12" s="2">
        <f t="shared" si="0"/>
        <v>5650</v>
      </c>
      <c r="H12" s="2">
        <f t="shared" si="1"/>
        <v>565000</v>
      </c>
      <c r="I12" s="2">
        <f t="shared" si="2"/>
        <v>378550</v>
      </c>
    </row>
    <row r="13" spans="1:9">
      <c r="D13" s="2">
        <v>11</v>
      </c>
      <c r="E13" s="2">
        <v>444</v>
      </c>
      <c r="F13" s="2">
        <v>780</v>
      </c>
      <c r="G13" s="2">
        <f t="shared" si="0"/>
        <v>4884</v>
      </c>
      <c r="H13" s="2">
        <f t="shared" si="1"/>
        <v>590964</v>
      </c>
      <c r="I13" s="2">
        <f t="shared" si="2"/>
        <v>346320</v>
      </c>
    </row>
    <row r="14" spans="1:9">
      <c r="D14" s="2">
        <v>12</v>
      </c>
      <c r="E14" s="2">
        <v>335</v>
      </c>
      <c r="F14" s="2">
        <v>864</v>
      </c>
      <c r="G14" s="2">
        <f t="shared" si="0"/>
        <v>4020</v>
      </c>
      <c r="H14" s="2">
        <f t="shared" si="1"/>
        <v>578880</v>
      </c>
      <c r="I14" s="2">
        <f t="shared" si="2"/>
        <v>289440</v>
      </c>
    </row>
    <row r="15" spans="1:9">
      <c r="D15" s="2">
        <v>13</v>
      </c>
      <c r="E15" s="2">
        <v>243</v>
      </c>
      <c r="F15" s="2">
        <v>924</v>
      </c>
      <c r="G15" s="2">
        <f t="shared" si="0"/>
        <v>3159</v>
      </c>
      <c r="H15" s="2">
        <f t="shared" si="1"/>
        <v>533871</v>
      </c>
      <c r="I15" s="2">
        <f t="shared" si="2"/>
        <v>224532</v>
      </c>
    </row>
    <row r="16" spans="1:9">
      <c r="D16" s="2">
        <v>14</v>
      </c>
      <c r="E16" s="2">
        <v>170</v>
      </c>
      <c r="F16" s="2">
        <v>964</v>
      </c>
      <c r="G16" s="2">
        <f t="shared" si="0"/>
        <v>2380</v>
      </c>
      <c r="H16" s="2">
        <f t="shared" si="1"/>
        <v>466480</v>
      </c>
      <c r="I16" s="2">
        <f t="shared" si="2"/>
        <v>163880</v>
      </c>
    </row>
    <row r="17" spans="4:9">
      <c r="D17" s="2">
        <v>15</v>
      </c>
      <c r="E17" s="2">
        <v>114</v>
      </c>
      <c r="F17" s="2">
        <v>989</v>
      </c>
      <c r="G17" s="2">
        <f t="shared" si="0"/>
        <v>1710</v>
      </c>
      <c r="H17" s="2">
        <f t="shared" si="1"/>
        <v>384750</v>
      </c>
      <c r="I17" s="2">
        <f t="shared" si="2"/>
        <v>112746</v>
      </c>
    </row>
    <row r="18" spans="4:9">
      <c r="D18" s="2">
        <v>16</v>
      </c>
      <c r="E18" s="2">
        <v>74</v>
      </c>
      <c r="F18" s="2">
        <v>1000</v>
      </c>
      <c r="G18" s="2">
        <f t="shared" si="0"/>
        <v>1184</v>
      </c>
      <c r="H18" s="2">
        <f t="shared" si="1"/>
        <v>303104</v>
      </c>
      <c r="I18" s="2">
        <f t="shared" si="2"/>
        <v>74000</v>
      </c>
    </row>
    <row r="19" spans="4:9">
      <c r="D19" s="2">
        <v>17</v>
      </c>
      <c r="E19" s="2">
        <v>46</v>
      </c>
      <c r="F19" s="2">
        <v>998</v>
      </c>
      <c r="G19" s="2">
        <f t="shared" si="0"/>
        <v>782</v>
      </c>
      <c r="H19" s="2">
        <f t="shared" si="1"/>
        <v>225998</v>
      </c>
      <c r="I19" s="2">
        <f t="shared" si="2"/>
        <v>45908</v>
      </c>
    </row>
    <row r="20" spans="4:9">
      <c r="D20" s="2">
        <v>18</v>
      </c>
      <c r="E20" s="2">
        <v>28</v>
      </c>
      <c r="F20" s="2">
        <v>987</v>
      </c>
      <c r="G20" s="2">
        <f t="shared" si="0"/>
        <v>504</v>
      </c>
      <c r="H20" s="2">
        <f t="shared" si="1"/>
        <v>163296</v>
      </c>
      <c r="I20" s="2">
        <f t="shared" si="2"/>
        <v>27636</v>
      </c>
    </row>
    <row r="21" spans="4:9">
      <c r="D21" s="2">
        <v>19</v>
      </c>
      <c r="E21" s="2">
        <v>16</v>
      </c>
      <c r="F21" s="2">
        <v>968</v>
      </c>
      <c r="G21" s="2">
        <f t="shared" si="0"/>
        <v>304</v>
      </c>
      <c r="H21" s="2">
        <f t="shared" si="1"/>
        <v>109744</v>
      </c>
      <c r="I21" s="2">
        <f t="shared" si="2"/>
        <v>15488</v>
      </c>
    </row>
    <row r="22" spans="4:9">
      <c r="D22" s="2">
        <v>20</v>
      </c>
      <c r="E22" s="2">
        <v>9</v>
      </c>
      <c r="F22" s="2">
        <v>944</v>
      </c>
      <c r="G22" s="2">
        <f t="shared" si="0"/>
        <v>180</v>
      </c>
      <c r="H22" s="2">
        <f t="shared" si="1"/>
        <v>72000</v>
      </c>
      <c r="I22" s="2">
        <f t="shared" si="2"/>
        <v>8496</v>
      </c>
    </row>
    <row r="23" spans="4:9">
      <c r="D23" s="2">
        <v>21</v>
      </c>
      <c r="E23" s="2">
        <v>5</v>
      </c>
      <c r="F23" s="2">
        <v>917</v>
      </c>
      <c r="G23" s="2">
        <f t="shared" si="0"/>
        <v>105</v>
      </c>
      <c r="H23" s="2">
        <f t="shared" si="1"/>
        <v>46305</v>
      </c>
      <c r="I23" s="2">
        <f t="shared" si="2"/>
        <v>4585</v>
      </c>
    </row>
    <row r="24" spans="4:9">
      <c r="D24" s="2">
        <v>22</v>
      </c>
      <c r="E24" s="2">
        <v>3</v>
      </c>
      <c r="F24" s="2">
        <v>889</v>
      </c>
      <c r="G24" s="2">
        <f t="shared" si="0"/>
        <v>66</v>
      </c>
      <c r="H24" s="2">
        <f t="shared" si="1"/>
        <v>31944</v>
      </c>
      <c r="I24" s="2">
        <f t="shared" si="2"/>
        <v>2667</v>
      </c>
    </row>
    <row r="25" spans="4:9">
      <c r="D25" s="2">
        <v>23</v>
      </c>
      <c r="E25" s="2">
        <v>1</v>
      </c>
      <c r="F25" s="2">
        <v>863</v>
      </c>
      <c r="G25" s="2">
        <f t="shared" si="0"/>
        <v>23</v>
      </c>
      <c r="H25" s="2">
        <f t="shared" si="1"/>
        <v>12167</v>
      </c>
      <c r="I25" s="2">
        <f t="shared" si="2"/>
        <v>863</v>
      </c>
    </row>
    <row r="26" spans="4:9">
      <c r="D26" s="2">
        <v>24</v>
      </c>
      <c r="E26" s="2">
        <v>1</v>
      </c>
      <c r="F26" s="2">
        <v>840</v>
      </c>
      <c r="G26" s="2">
        <f t="shared" si="0"/>
        <v>24</v>
      </c>
      <c r="H26" s="2">
        <f t="shared" si="1"/>
        <v>13824</v>
      </c>
      <c r="I26" s="2">
        <f t="shared" si="2"/>
        <v>840</v>
      </c>
    </row>
    <row r="27" spans="4:9">
      <c r="D27" s="2">
        <v>25</v>
      </c>
      <c r="E27" s="2">
        <v>0</v>
      </c>
      <c r="F27" s="2">
        <v>822</v>
      </c>
      <c r="G27" s="2">
        <f t="shared" si="0"/>
        <v>0</v>
      </c>
      <c r="H27" s="2">
        <f t="shared" si="1"/>
        <v>0</v>
      </c>
      <c r="I27" s="2">
        <f t="shared" si="2"/>
        <v>0</v>
      </c>
    </row>
    <row r="28" spans="4:9">
      <c r="D28" s="2">
        <v>26</v>
      </c>
      <c r="E28" s="2">
        <v>0</v>
      </c>
      <c r="F28" s="2">
        <v>0</v>
      </c>
      <c r="G28" s="2">
        <f t="shared" si="0"/>
        <v>0</v>
      </c>
      <c r="H28" s="2">
        <f t="shared" si="1"/>
        <v>0</v>
      </c>
      <c r="I28" s="2">
        <f t="shared" si="2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selection activeCell="E4" sqref="E4"/>
    </sheetView>
  </sheetViews>
  <sheetFormatPr defaultRowHeight="15"/>
  <cols>
    <col min="1" max="1" width="33.85546875" bestFit="1" customWidth="1"/>
    <col min="2" max="2" width="13.5703125" bestFit="1" customWidth="1"/>
    <col min="5" max="5" width="15.140625" bestFit="1" customWidth="1"/>
    <col min="6" max="6" width="12.28515625" bestFit="1" customWidth="1"/>
    <col min="7" max="8" width="13.5703125" bestFit="1" customWidth="1"/>
    <col min="9" max="9" width="16.140625" bestFit="1" customWidth="1"/>
    <col min="10" max="10" width="12.140625" bestFit="1" customWidth="1"/>
    <col min="11" max="11" width="15.140625" bestFit="1" customWidth="1"/>
  </cols>
  <sheetData>
    <row r="1" spans="1:11">
      <c r="A1" s="1" t="s">
        <v>14</v>
      </c>
      <c r="B1" s="2">
        <v>2</v>
      </c>
      <c r="D1" s="1" t="s">
        <v>27</v>
      </c>
      <c r="E1" s="1" t="s">
        <v>24</v>
      </c>
      <c r="F1" s="1" t="s">
        <v>25</v>
      </c>
      <c r="G1" s="1" t="s">
        <v>26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>
      <c r="A2" s="1" t="s">
        <v>15</v>
      </c>
      <c r="B2" s="2">
        <v>2500000</v>
      </c>
      <c r="D2" s="2">
        <v>1</v>
      </c>
      <c r="E2" s="2">
        <f>$B$8</f>
        <v>5000000</v>
      </c>
      <c r="F2" s="2">
        <f>$B$4*E2</f>
        <v>300000</v>
      </c>
      <c r="G2" s="5">
        <f>$B$9</f>
        <v>514813.81977656309</v>
      </c>
      <c r="H2" s="5">
        <f>G2-F2</f>
        <v>214813.81977656309</v>
      </c>
      <c r="I2" s="5">
        <f>$B$7+$B$9</f>
        <v>614813.81977656309</v>
      </c>
      <c r="J2" s="2">
        <f>$B$10*$B$6</f>
        <v>868291.20000000007</v>
      </c>
      <c r="K2" s="5">
        <f>J2-I2</f>
        <v>253477.38022343698</v>
      </c>
    </row>
    <row r="3" spans="1:11">
      <c r="A3" s="1" t="s">
        <v>16</v>
      </c>
      <c r="B3" s="2">
        <v>15</v>
      </c>
      <c r="D3" s="2">
        <v>2</v>
      </c>
      <c r="E3" s="5">
        <f>E2-H2</f>
        <v>4785186.180223437</v>
      </c>
      <c r="F3" s="2">
        <f>$B$4*E3</f>
        <v>287111.17081340624</v>
      </c>
      <c r="G3" s="5">
        <f t="shared" ref="G3:G16" si="0">$B$9</f>
        <v>514813.81977656309</v>
      </c>
      <c r="H3" s="5">
        <f>G3-F3</f>
        <v>227702.64896315685</v>
      </c>
      <c r="I3" s="5">
        <f t="shared" ref="I3:I16" si="1">$B$7+$B$9</f>
        <v>614813.81977656309</v>
      </c>
      <c r="J3" s="2">
        <f t="shared" ref="J3:J17" si="2">$B$10*$B$6</f>
        <v>868291.20000000007</v>
      </c>
      <c r="K3" s="5">
        <f t="shared" ref="K3:K18" si="3">J3-I3</f>
        <v>253477.38022343698</v>
      </c>
    </row>
    <row r="4" spans="1:11">
      <c r="A4" s="1" t="s">
        <v>17</v>
      </c>
      <c r="B4" s="4">
        <v>0.06</v>
      </c>
      <c r="D4" s="2">
        <v>3</v>
      </c>
      <c r="E4" s="5">
        <f>E3-H3</f>
        <v>4557483.5312602799</v>
      </c>
      <c r="F4" s="2">
        <f>$B$4*E4</f>
        <v>273449.01187561679</v>
      </c>
      <c r="G4" s="5">
        <f t="shared" si="0"/>
        <v>514813.81977656309</v>
      </c>
      <c r="H4" s="5">
        <f>G4-F4</f>
        <v>241364.8079009463</v>
      </c>
      <c r="I4" s="5">
        <f t="shared" si="1"/>
        <v>614813.81977656309</v>
      </c>
      <c r="J4" s="2">
        <f t="shared" si="2"/>
        <v>868291.20000000007</v>
      </c>
      <c r="K4" s="5">
        <f t="shared" si="3"/>
        <v>253477.38022343698</v>
      </c>
    </row>
    <row r="5" spans="1:11">
      <c r="A5" s="1" t="s">
        <v>18</v>
      </c>
      <c r="B5" s="2">
        <v>0.3</v>
      </c>
      <c r="D5" s="2">
        <v>4</v>
      </c>
      <c r="E5" s="5">
        <f>E4-H4</f>
        <v>4316118.7233593334</v>
      </c>
      <c r="F5" s="2">
        <f>$B$4*E5</f>
        <v>258967.12340156001</v>
      </c>
      <c r="G5" s="5">
        <f t="shared" si="0"/>
        <v>514813.81977656309</v>
      </c>
      <c r="H5" s="5">
        <f>G5-F5</f>
        <v>255846.69637500308</v>
      </c>
      <c r="I5" s="5">
        <f t="shared" si="1"/>
        <v>614813.81977656309</v>
      </c>
      <c r="J5" s="2">
        <f t="shared" si="2"/>
        <v>868291.20000000007</v>
      </c>
      <c r="K5" s="5">
        <f t="shared" si="3"/>
        <v>253477.38022343698</v>
      </c>
    </row>
    <row r="6" spans="1:11">
      <c r="A6" s="1" t="s">
        <v>19</v>
      </c>
      <c r="B6" s="2">
        <v>0.16520000000000001</v>
      </c>
      <c r="D6" s="2">
        <v>5</v>
      </c>
      <c r="E6" s="5">
        <f>E5-H5</f>
        <v>4060272.0269843303</v>
      </c>
      <c r="F6" s="2">
        <f>$B$4*E6</f>
        <v>243616.3216190598</v>
      </c>
      <c r="G6" s="5">
        <f t="shared" si="0"/>
        <v>514813.81977656309</v>
      </c>
      <c r="H6" s="5">
        <f>G6-F6</f>
        <v>271197.49815750332</v>
      </c>
      <c r="I6" s="5">
        <f t="shared" si="1"/>
        <v>614813.81977656309</v>
      </c>
      <c r="J6" s="2">
        <f t="shared" si="2"/>
        <v>868291.20000000007</v>
      </c>
      <c r="K6" s="5">
        <f t="shared" si="3"/>
        <v>253477.38022343698</v>
      </c>
    </row>
    <row r="7" spans="1:11">
      <c r="A7" s="1" t="s">
        <v>20</v>
      </c>
      <c r="B7" s="2">
        <v>100000</v>
      </c>
      <c r="D7" s="2">
        <v>6</v>
      </c>
      <c r="E7" s="5">
        <f>E6-H6</f>
        <v>3789074.5288268272</v>
      </c>
      <c r="F7" s="2">
        <f>$B$4*E7</f>
        <v>227344.47172960962</v>
      </c>
      <c r="G7" s="5">
        <f t="shared" si="0"/>
        <v>514813.81977656309</v>
      </c>
      <c r="H7" s="5">
        <f>G7-F7</f>
        <v>287469.34804695344</v>
      </c>
      <c r="I7" s="5">
        <f t="shared" si="1"/>
        <v>614813.81977656309</v>
      </c>
      <c r="J7" s="2">
        <f t="shared" si="2"/>
        <v>868291.20000000007</v>
      </c>
      <c r="K7" s="5">
        <f t="shared" si="3"/>
        <v>253477.38022343698</v>
      </c>
    </row>
    <row r="8" spans="1:11">
      <c r="A8" s="1" t="s">
        <v>21</v>
      </c>
      <c r="B8" s="2">
        <f>B1*B2</f>
        <v>5000000</v>
      </c>
      <c r="D8" s="2">
        <v>7</v>
      </c>
      <c r="E8" s="5">
        <f>E7-H7</f>
        <v>3501605.1807798739</v>
      </c>
      <c r="F8" s="2">
        <f>$B$4*E8</f>
        <v>210096.31084679242</v>
      </c>
      <c r="G8" s="5">
        <f t="shared" si="0"/>
        <v>514813.81977656309</v>
      </c>
      <c r="H8" s="5">
        <f>G8-F8</f>
        <v>304717.50892977067</v>
      </c>
      <c r="I8" s="5">
        <f t="shared" si="1"/>
        <v>614813.81977656309</v>
      </c>
      <c r="J8" s="2">
        <f t="shared" si="2"/>
        <v>868291.20000000007</v>
      </c>
      <c r="K8" s="5">
        <f t="shared" si="3"/>
        <v>253477.38022343698</v>
      </c>
    </row>
    <row r="9" spans="1:11">
      <c r="A9" s="1" t="s">
        <v>22</v>
      </c>
      <c r="B9" s="5">
        <f>-PMT(B4,B3,B8)</f>
        <v>514813.81977656309</v>
      </c>
      <c r="D9" s="2">
        <v>8</v>
      </c>
      <c r="E9" s="5">
        <f>E8-H8</f>
        <v>3196887.671850103</v>
      </c>
      <c r="F9" s="2">
        <f>$B$4*E9</f>
        <v>191813.26031100616</v>
      </c>
      <c r="G9" s="5">
        <f t="shared" si="0"/>
        <v>514813.81977656309</v>
      </c>
      <c r="H9" s="5">
        <f>G9-F9</f>
        <v>323000.55946555693</v>
      </c>
      <c r="I9" s="5">
        <f t="shared" si="1"/>
        <v>614813.81977656309</v>
      </c>
      <c r="J9" s="2">
        <f t="shared" si="2"/>
        <v>868291.20000000007</v>
      </c>
      <c r="K9" s="5">
        <f t="shared" si="3"/>
        <v>253477.38022343698</v>
      </c>
    </row>
    <row r="10" spans="1:11">
      <c r="A10" s="1" t="s">
        <v>23</v>
      </c>
      <c r="B10" s="2">
        <f>B1*8760*B5*1000</f>
        <v>5256000</v>
      </c>
      <c r="D10" s="2">
        <v>9</v>
      </c>
      <c r="E10" s="5">
        <f>E9-H9</f>
        <v>2873887.1123845461</v>
      </c>
      <c r="F10" s="2">
        <f>$B$4*E10</f>
        <v>172433.22674307277</v>
      </c>
      <c r="G10" s="5">
        <f t="shared" si="0"/>
        <v>514813.81977656309</v>
      </c>
      <c r="H10" s="5">
        <f>G10-F10</f>
        <v>342380.59303349035</v>
      </c>
      <c r="I10" s="5">
        <f t="shared" si="1"/>
        <v>614813.81977656309</v>
      </c>
      <c r="J10" s="2">
        <f t="shared" si="2"/>
        <v>868291.20000000007</v>
      </c>
      <c r="K10" s="5">
        <f t="shared" si="3"/>
        <v>253477.38022343698</v>
      </c>
    </row>
    <row r="11" spans="1:11">
      <c r="D11" s="2">
        <v>10</v>
      </c>
      <c r="E11" s="5">
        <f>E10-H10</f>
        <v>2531506.5193510558</v>
      </c>
      <c r="F11" s="2">
        <f>$B$4*E11</f>
        <v>151890.39116106334</v>
      </c>
      <c r="G11" s="5">
        <f t="shared" si="0"/>
        <v>514813.81977656309</v>
      </c>
      <c r="H11" s="5">
        <f>G11-F11</f>
        <v>362923.42861549975</v>
      </c>
      <c r="I11" s="5">
        <f t="shared" si="1"/>
        <v>614813.81977656309</v>
      </c>
      <c r="J11" s="2">
        <f t="shared" si="2"/>
        <v>868291.20000000007</v>
      </c>
      <c r="K11" s="5">
        <f t="shared" si="3"/>
        <v>253477.38022343698</v>
      </c>
    </row>
    <row r="12" spans="1:11">
      <c r="D12" s="2">
        <v>11</v>
      </c>
      <c r="E12" s="5">
        <f>E11-H11</f>
        <v>2168583.0907355561</v>
      </c>
      <c r="F12" s="2">
        <f>$B$4*E12</f>
        <v>130114.98544413336</v>
      </c>
      <c r="G12" s="5">
        <f t="shared" si="0"/>
        <v>514813.81977656309</v>
      </c>
      <c r="H12" s="5">
        <f>G12-F12</f>
        <v>384698.83433242975</v>
      </c>
      <c r="I12" s="5">
        <f t="shared" si="1"/>
        <v>614813.81977656309</v>
      </c>
      <c r="J12" s="2">
        <f t="shared" si="2"/>
        <v>868291.20000000007</v>
      </c>
      <c r="K12" s="5">
        <f t="shared" si="3"/>
        <v>253477.38022343698</v>
      </c>
    </row>
    <row r="13" spans="1:11">
      <c r="D13" s="2">
        <v>12</v>
      </c>
      <c r="E13" s="5">
        <f>E12-H12</f>
        <v>1783884.2564031263</v>
      </c>
      <c r="F13" s="2">
        <f>$B$4*E13</f>
        <v>107033.05538418757</v>
      </c>
      <c r="G13" s="5">
        <f t="shared" si="0"/>
        <v>514813.81977656309</v>
      </c>
      <c r="H13" s="5">
        <f>G13-F13</f>
        <v>407780.76439237554</v>
      </c>
      <c r="I13" s="5">
        <f t="shared" si="1"/>
        <v>614813.81977656309</v>
      </c>
      <c r="J13" s="2">
        <f t="shared" si="2"/>
        <v>868291.20000000007</v>
      </c>
      <c r="K13" s="5">
        <f t="shared" si="3"/>
        <v>253477.38022343698</v>
      </c>
    </row>
    <row r="14" spans="1:11">
      <c r="D14" s="2">
        <v>13</v>
      </c>
      <c r="E14" s="5">
        <f>E13-H13</f>
        <v>1376103.4920107508</v>
      </c>
      <c r="F14" s="2">
        <f>$B$4*E14</f>
        <v>82566.209520645047</v>
      </c>
      <c r="G14" s="5">
        <f t="shared" si="0"/>
        <v>514813.81977656309</v>
      </c>
      <c r="H14" s="5">
        <f>G14-F14</f>
        <v>432247.61025591806</v>
      </c>
      <c r="I14" s="5">
        <f t="shared" si="1"/>
        <v>614813.81977656309</v>
      </c>
      <c r="J14" s="2">
        <f t="shared" si="2"/>
        <v>868291.20000000007</v>
      </c>
      <c r="K14" s="5">
        <f t="shared" si="3"/>
        <v>253477.38022343698</v>
      </c>
    </row>
    <row r="15" spans="1:11">
      <c r="D15" s="2">
        <v>14</v>
      </c>
      <c r="E15" s="5">
        <f>E14-H14</f>
        <v>943855.88175483281</v>
      </c>
      <c r="F15" s="2">
        <f>$B$4*E15</f>
        <v>56631.352905289968</v>
      </c>
      <c r="G15" s="5">
        <f t="shared" si="0"/>
        <v>514813.81977656309</v>
      </c>
      <c r="H15" s="5">
        <f>G15-F15</f>
        <v>458182.46687127312</v>
      </c>
      <c r="I15" s="5">
        <f t="shared" si="1"/>
        <v>614813.81977656309</v>
      </c>
      <c r="J15" s="2">
        <f t="shared" si="2"/>
        <v>868291.20000000007</v>
      </c>
      <c r="K15" s="5">
        <f t="shared" si="3"/>
        <v>253477.38022343698</v>
      </c>
    </row>
    <row r="16" spans="1:11">
      <c r="D16" s="2">
        <v>15</v>
      </c>
      <c r="E16" s="5">
        <f>E15-H15</f>
        <v>485673.41488355969</v>
      </c>
      <c r="F16" s="2">
        <f>$B$4*E16</f>
        <v>29140.40489301358</v>
      </c>
      <c r="G16" s="5">
        <f t="shared" si="0"/>
        <v>514813.81977656309</v>
      </c>
      <c r="H16" s="5">
        <f>G16-F16</f>
        <v>485673.4148835495</v>
      </c>
      <c r="I16" s="5">
        <f t="shared" si="1"/>
        <v>614813.81977656309</v>
      </c>
      <c r="J16" s="2">
        <f t="shared" si="2"/>
        <v>868291.20000000007</v>
      </c>
      <c r="K16" s="5">
        <f t="shared" si="3"/>
        <v>253477.38022343698</v>
      </c>
    </row>
    <row r="17" spans="4:11">
      <c r="D17" s="2">
        <v>16</v>
      </c>
      <c r="E17" s="5">
        <f>E16-H16</f>
        <v>1.0186340659856796E-8</v>
      </c>
      <c r="F17" s="2"/>
      <c r="G17" s="2"/>
      <c r="H17" s="5"/>
      <c r="I17" s="5"/>
      <c r="J17" s="2"/>
      <c r="K17" s="5"/>
    </row>
    <row r="18" spans="4:11">
      <c r="I18" s="6">
        <f>SUM(I2:I17)</f>
        <v>9222207.2966484465</v>
      </c>
      <c r="J18" s="2">
        <f>SUM(J2:J17)</f>
        <v>13024367.999999996</v>
      </c>
      <c r="K18" s="6">
        <f t="shared" si="3"/>
        <v>3802160.7033515498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I18" sqref="I18"/>
    </sheetView>
  </sheetViews>
  <sheetFormatPr defaultRowHeight="15"/>
  <cols>
    <col min="1" max="1" width="31.7109375" bestFit="1" customWidth="1"/>
    <col min="2" max="2" width="16.140625" bestFit="1" customWidth="1"/>
    <col min="6" max="6" width="10" bestFit="1" customWidth="1"/>
    <col min="7" max="7" width="9.85546875" bestFit="1" customWidth="1"/>
  </cols>
  <sheetData>
    <row r="1" spans="1:7">
      <c r="A1" s="1" t="s">
        <v>32</v>
      </c>
      <c r="B1" s="2">
        <v>40</v>
      </c>
      <c r="D1" s="1" t="s">
        <v>5</v>
      </c>
      <c r="E1" s="1" t="s">
        <v>46</v>
      </c>
      <c r="F1" s="1" t="s">
        <v>11</v>
      </c>
      <c r="G1" s="1" t="s">
        <v>47</v>
      </c>
    </row>
    <row r="2" spans="1:7">
      <c r="A2" s="1" t="s">
        <v>33</v>
      </c>
      <c r="B2" s="2">
        <v>1.5</v>
      </c>
      <c r="D2" s="2">
        <v>5</v>
      </c>
      <c r="E2" s="2">
        <f>0.087*D2-$B$2*1000/($B$3*$B$3)</f>
        <v>1.8333333333333257E-2</v>
      </c>
      <c r="F2" s="2">
        <f>$B$1*$B$2*1000*8760*E2</f>
        <v>9635999.999999959</v>
      </c>
      <c r="G2" s="8">
        <f>$B$19/F2</f>
        <v>2.2097389970256964</v>
      </c>
    </row>
    <row r="3" spans="1:7">
      <c r="A3" s="1" t="s">
        <v>34</v>
      </c>
      <c r="B3" s="2">
        <v>60</v>
      </c>
      <c r="D3" s="2">
        <v>5.5</v>
      </c>
      <c r="E3" s="2">
        <f t="shared" ref="E3:E20" si="0">0.087*D3-$B$2*1000/($B$3*$B$3)</f>
        <v>6.1833333333333296E-2</v>
      </c>
      <c r="F3" s="2">
        <f t="shared" ref="F3:F20" si="1">$B$1*$B$2*1000*8760*E3</f>
        <v>32499599.999999981</v>
      </c>
      <c r="G3" s="8">
        <f t="shared" ref="G3:G20" si="2">$B$19/F3</f>
        <v>0.65517867836341159</v>
      </c>
    </row>
    <row r="4" spans="1:7">
      <c r="A4" s="1" t="s">
        <v>35</v>
      </c>
      <c r="B4" s="2">
        <v>3000</v>
      </c>
      <c r="D4" s="2">
        <v>6</v>
      </c>
      <c r="E4" s="2">
        <f t="shared" si="0"/>
        <v>0.10533333333333333</v>
      </c>
      <c r="F4" s="2">
        <f t="shared" si="1"/>
        <v>55363200</v>
      </c>
      <c r="G4" s="8">
        <f t="shared" si="2"/>
        <v>0.38460647100130629</v>
      </c>
    </row>
    <row r="5" spans="1:7">
      <c r="A5" s="1" t="s">
        <v>36</v>
      </c>
      <c r="B5" s="2">
        <f>0.01*B4</f>
        <v>30</v>
      </c>
      <c r="D5" s="2">
        <v>6.5</v>
      </c>
      <c r="E5" s="2">
        <f t="shared" si="0"/>
        <v>0.14883333333333332</v>
      </c>
      <c r="F5" s="2">
        <f t="shared" si="1"/>
        <v>78226799.999999985</v>
      </c>
      <c r="G5" s="8">
        <f t="shared" si="2"/>
        <v>0.27219629302668041</v>
      </c>
    </row>
    <row r="6" spans="1:7">
      <c r="A6" s="1" t="s">
        <v>37</v>
      </c>
      <c r="B6" s="2">
        <v>20</v>
      </c>
      <c r="D6" s="2">
        <v>7</v>
      </c>
      <c r="E6" s="2">
        <f t="shared" si="0"/>
        <v>0.1923333333333333</v>
      </c>
      <c r="F6" s="2">
        <f t="shared" si="1"/>
        <v>101090399.99999999</v>
      </c>
      <c r="G6" s="8">
        <f t="shared" si="2"/>
        <v>0.21063369988979688</v>
      </c>
    </row>
    <row r="7" spans="1:7">
      <c r="A7" s="1" t="s">
        <v>17</v>
      </c>
      <c r="B7" s="4">
        <v>7.0000000000000007E-2</v>
      </c>
      <c r="D7" s="2">
        <v>7.5</v>
      </c>
      <c r="E7" s="2">
        <f t="shared" si="0"/>
        <v>0.23583333333333328</v>
      </c>
      <c r="F7" s="2">
        <f t="shared" si="1"/>
        <v>123953999.99999997</v>
      </c>
      <c r="G7" s="8">
        <f t="shared" si="2"/>
        <v>0.17178183015747395</v>
      </c>
    </row>
    <row r="8" spans="1:7">
      <c r="A8" s="1" t="s">
        <v>38</v>
      </c>
      <c r="B8" s="2">
        <v>45000000</v>
      </c>
      <c r="D8" s="2">
        <v>8</v>
      </c>
      <c r="E8" s="2">
        <f t="shared" si="0"/>
        <v>0.27933333333333327</v>
      </c>
      <c r="F8" s="2">
        <f t="shared" si="1"/>
        <v>146817599.99999997</v>
      </c>
      <c r="G8" s="8">
        <f t="shared" si="2"/>
        <v>0.14503060243008689</v>
      </c>
    </row>
    <row r="9" spans="1:7">
      <c r="A9" s="1" t="s">
        <v>39</v>
      </c>
      <c r="B9" s="4">
        <v>0.15</v>
      </c>
      <c r="D9" s="2">
        <v>8.5</v>
      </c>
      <c r="E9" s="2">
        <f t="shared" si="0"/>
        <v>0.32283333333333325</v>
      </c>
      <c r="F9" s="2">
        <f t="shared" si="1"/>
        <v>169681199.99999997</v>
      </c>
      <c r="G9" s="8">
        <f t="shared" si="2"/>
        <v>0.12548853364627033</v>
      </c>
    </row>
    <row r="10" spans="1:7">
      <c r="A10" s="1" t="s">
        <v>40</v>
      </c>
      <c r="B10" s="2">
        <f>B9*B8</f>
        <v>6750000</v>
      </c>
      <c r="D10" s="2">
        <v>9</v>
      </c>
      <c r="E10" s="2">
        <f t="shared" si="0"/>
        <v>0.36633333333333323</v>
      </c>
      <c r="F10" s="2">
        <f t="shared" si="1"/>
        <v>192544799.99999994</v>
      </c>
      <c r="G10" s="8">
        <f t="shared" si="2"/>
        <v>0.11058748392758219</v>
      </c>
    </row>
    <row r="11" spans="1:7">
      <c r="A11" s="1" t="s">
        <v>41</v>
      </c>
      <c r="B11" s="2">
        <f>B1*B2*1000*B4</f>
        <v>180000000</v>
      </c>
      <c r="D11" s="2">
        <v>9.5</v>
      </c>
      <c r="E11" s="2">
        <f t="shared" si="0"/>
        <v>0.40983333333333322</v>
      </c>
      <c r="F11" s="2">
        <f t="shared" si="1"/>
        <v>215408399.99999994</v>
      </c>
      <c r="G11" s="8">
        <f t="shared" si="2"/>
        <v>9.8849650131283301E-2</v>
      </c>
    </row>
    <row r="12" spans="1:7">
      <c r="A12" s="1" t="s">
        <v>42</v>
      </c>
      <c r="B12" s="2">
        <f>B11-B8</f>
        <v>135000000</v>
      </c>
      <c r="D12" s="2">
        <v>10</v>
      </c>
      <c r="E12" s="2">
        <f t="shared" si="0"/>
        <v>0.4533333333333332</v>
      </c>
      <c r="F12" s="2">
        <f t="shared" si="1"/>
        <v>238271999.99999994</v>
      </c>
      <c r="G12" s="8">
        <f t="shared" si="2"/>
        <v>8.9364444732656478E-2</v>
      </c>
    </row>
    <row r="13" spans="1:7">
      <c r="A13" s="1" t="s">
        <v>43</v>
      </c>
      <c r="B13" s="5">
        <f>-PMT(B7,B6,B12)</f>
        <v>12743044.975339521</v>
      </c>
      <c r="D13" s="2">
        <v>10.5</v>
      </c>
      <c r="E13" s="2">
        <f t="shared" si="0"/>
        <v>0.49683333333333329</v>
      </c>
      <c r="F13" s="2">
        <f t="shared" si="1"/>
        <v>261135599.99999997</v>
      </c>
      <c r="G13" s="8">
        <f t="shared" si="2"/>
        <v>8.1540184392091777E-2</v>
      </c>
    </row>
    <row r="14" spans="1:7">
      <c r="A14" s="1" t="s">
        <v>44</v>
      </c>
      <c r="B14" s="2">
        <v>2</v>
      </c>
      <c r="D14" s="2">
        <v>11</v>
      </c>
      <c r="E14" s="2">
        <f t="shared" si="0"/>
        <v>0.54033333333333333</v>
      </c>
      <c r="F14" s="2">
        <f t="shared" si="1"/>
        <v>283999200</v>
      </c>
      <c r="G14" s="8">
        <f t="shared" si="2"/>
        <v>7.4975721675763593E-2</v>
      </c>
    </row>
    <row r="15" spans="1:7">
      <c r="A15" s="1" t="s">
        <v>5</v>
      </c>
      <c r="B15" s="2">
        <v>8.5</v>
      </c>
      <c r="D15" s="2">
        <v>11.5</v>
      </c>
      <c r="E15" s="2">
        <f t="shared" si="0"/>
        <v>0.5838333333333332</v>
      </c>
      <c r="F15" s="2">
        <f t="shared" si="1"/>
        <v>306862799.99999994</v>
      </c>
      <c r="G15" s="8">
        <f t="shared" si="2"/>
        <v>6.9389463223758385E-2</v>
      </c>
    </row>
    <row r="16" spans="1:7">
      <c r="A16" s="1" t="s">
        <v>45</v>
      </c>
      <c r="B16" s="2">
        <f>2*B15/SQRT(3.14159)</f>
        <v>9.5912269709941338</v>
      </c>
      <c r="D16" s="2">
        <v>12</v>
      </c>
      <c r="E16" s="2">
        <f t="shared" si="0"/>
        <v>0.6273333333333333</v>
      </c>
      <c r="F16" s="2">
        <f t="shared" si="1"/>
        <v>329726400</v>
      </c>
      <c r="G16" s="8">
        <f t="shared" si="2"/>
        <v>6.4577919679284154E-2</v>
      </c>
    </row>
    <row r="17" spans="1:7">
      <c r="A17" s="1" t="s">
        <v>46</v>
      </c>
      <c r="B17" s="2">
        <f>0.087*B15-B2*1000/B3^2</f>
        <v>0.32283333333333325</v>
      </c>
      <c r="D17" s="2">
        <v>12.5</v>
      </c>
      <c r="E17" s="2">
        <f t="shared" si="0"/>
        <v>0.67083333333333317</v>
      </c>
      <c r="F17" s="2">
        <f t="shared" si="1"/>
        <v>352589999.99999994</v>
      </c>
      <c r="G17" s="8">
        <f t="shared" si="2"/>
        <v>6.0390382527410094E-2</v>
      </c>
    </row>
    <row r="18" spans="1:7">
      <c r="A18" s="1" t="s">
        <v>11</v>
      </c>
      <c r="B18" s="2">
        <f>B1*B2*1000*8760*B17</f>
        <v>169681199.99999997</v>
      </c>
      <c r="D18" s="2">
        <v>13</v>
      </c>
      <c r="E18" s="2">
        <f t="shared" si="0"/>
        <v>0.71433333333333326</v>
      </c>
      <c r="F18" s="2">
        <f t="shared" si="1"/>
        <v>375453599.99999994</v>
      </c>
      <c r="G18" s="8">
        <f t="shared" si="2"/>
        <v>5.6712853400099301E-2</v>
      </c>
    </row>
    <row r="19" spans="1:7">
      <c r="A19" s="1" t="s">
        <v>48</v>
      </c>
      <c r="B19" s="5">
        <f>B13+B10+B5*B1*B2*1000</f>
        <v>21293044.975339521</v>
      </c>
      <c r="D19" s="2">
        <v>13.5</v>
      </c>
      <c r="E19" s="2">
        <f t="shared" si="0"/>
        <v>0.75783333333333314</v>
      </c>
      <c r="F19" s="2">
        <f t="shared" si="1"/>
        <v>398317199.99999988</v>
      </c>
      <c r="G19" s="8">
        <f t="shared" si="2"/>
        <v>5.3457508175242058E-2</v>
      </c>
    </row>
    <row r="20" spans="1:7">
      <c r="A20" s="1" t="s">
        <v>47</v>
      </c>
      <c r="B20" s="7">
        <f>B19/B18</f>
        <v>0.12548853364627033</v>
      </c>
      <c r="D20" s="2">
        <v>14</v>
      </c>
      <c r="E20" s="2">
        <f t="shared" si="0"/>
        <v>0.80133333333333323</v>
      </c>
      <c r="F20" s="2">
        <f t="shared" si="1"/>
        <v>421180799.99999994</v>
      </c>
      <c r="G20" s="8">
        <f t="shared" si="2"/>
        <v>5.0555592694015314E-2</v>
      </c>
    </row>
    <row r="23" spans="1:7">
      <c r="D23" s="1" t="s">
        <v>5</v>
      </c>
      <c r="E23" s="1" t="s">
        <v>46</v>
      </c>
      <c r="F23" s="1" t="s">
        <v>11</v>
      </c>
      <c r="G23" s="1" t="s">
        <v>47</v>
      </c>
    </row>
    <row r="24" spans="1:7">
      <c r="D24" s="3">
        <v>7.6080077004321973</v>
      </c>
      <c r="E24" s="2">
        <f>0.087*D24-$B$2*1000/($B$3*$B$3)</f>
        <v>0.24523000327093442</v>
      </c>
      <c r="F24" s="2">
        <f>$B$1*$B$2*1000*8760*E24</f>
        <v>128892889.71920313</v>
      </c>
      <c r="G24" s="8">
        <f>$B$19/F24</f>
        <v>0.16519953134518928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Zadatak1</vt:lpstr>
      <vt:lpstr>Zadatak2</vt:lpstr>
      <vt:lpstr>Zadatak3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2020-07-08T13:34:35Z</dcterms:created>
  <dcterms:modified xsi:type="dcterms:W3CDTF">2020-07-08T14:45:23Z</dcterms:modified>
</cp:coreProperties>
</file>