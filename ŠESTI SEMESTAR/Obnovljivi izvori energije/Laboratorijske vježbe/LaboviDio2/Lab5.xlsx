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35" windowWidth="23955" windowHeight="9780" activeTab="1"/>
  </bookViews>
  <sheets>
    <sheet name="Zadatak1" sheetId="1" r:id="rId1"/>
    <sheet name="Zadatak2" sheetId="2" r:id="rId2"/>
    <sheet name="Sheet3" sheetId="3" r:id="rId3"/>
  </sheets>
  <definedNames>
    <definedName name="solver_adj" localSheetId="1" hidden="1">Zadatak2!$B$14</definedName>
    <definedName name="solver_cvg" localSheetId="1" hidden="1">0.0001</definedName>
    <definedName name="solver_drv" localSheetId="1" hidden="1">1</definedName>
    <definedName name="solver_est" localSheetId="1" hidden="1">1</definedName>
    <definedName name="solver_itr" localSheetId="1" hidden="1">100</definedName>
    <definedName name="solver_lin" localSheetId="1" hidden="1">2</definedName>
    <definedName name="solver_neg" localSheetId="1" hidden="1">2</definedName>
    <definedName name="solver_num" localSheetId="1" hidden="1">0</definedName>
    <definedName name="solver_nwt" localSheetId="1" hidden="1">1</definedName>
    <definedName name="solver_opt" localSheetId="1" hidden="1">Zadatak2!$B$21</definedName>
    <definedName name="solver_pre" localSheetId="1" hidden="1">0.000001</definedName>
    <definedName name="solver_scl" localSheetId="1" hidden="1">2</definedName>
    <definedName name="solver_sho" localSheetId="1" hidden="1">2</definedName>
    <definedName name="solver_tim" localSheetId="1" hidden="1">100</definedName>
    <definedName name="solver_tol" localSheetId="1" hidden="1">0.05</definedName>
    <definedName name="solver_typ" localSheetId="1" hidden="1">3</definedName>
    <definedName name="solver_val" localSheetId="1" hidden="1">10000</definedName>
  </definedNames>
  <calcPr calcId="125725"/>
</workbook>
</file>

<file path=xl/calcChain.xml><?xml version="1.0" encoding="utf-8"?>
<calcChain xmlns="http://schemas.openxmlformats.org/spreadsheetml/2006/main">
  <c r="B24" i="2"/>
  <c r="B20"/>
  <c r="B19"/>
  <c r="C3"/>
  <c r="C4"/>
  <c r="C5"/>
  <c r="C6"/>
  <c r="C7"/>
  <c r="C2"/>
  <c r="B16"/>
  <c r="B18" s="1"/>
  <c r="B9"/>
  <c r="B7"/>
  <c r="O4" i="1"/>
  <c r="O2"/>
  <c r="L3"/>
  <c r="L4"/>
  <c r="L5"/>
  <c r="L6"/>
  <c r="L7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38"/>
  <c r="L39"/>
  <c r="L40"/>
  <c r="L41"/>
  <c r="L42"/>
  <c r="L2"/>
  <c r="K3"/>
  <c r="K4"/>
  <c r="K5"/>
  <c r="K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6"/>
  <c r="K37"/>
  <c r="K38"/>
  <c r="K39"/>
  <c r="K40"/>
  <c r="K41"/>
  <c r="K42"/>
  <c r="K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38"/>
  <c r="J39"/>
  <c r="J40"/>
  <c r="J41"/>
  <c r="J42"/>
  <c r="J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2"/>
  <c r="F3"/>
  <c r="F4"/>
  <c r="G4" s="1"/>
  <c r="F5"/>
  <c r="G5" s="1"/>
  <c r="F6"/>
  <c r="F7"/>
  <c r="F8"/>
  <c r="G8" s="1"/>
  <c r="F9"/>
  <c r="G9" s="1"/>
  <c r="F10"/>
  <c r="F11"/>
  <c r="F12"/>
  <c r="G12" s="1"/>
  <c r="F13"/>
  <c r="G13" s="1"/>
  <c r="F14"/>
  <c r="F15"/>
  <c r="F16"/>
  <c r="G16" s="1"/>
  <c r="F17"/>
  <c r="G17" s="1"/>
  <c r="F18"/>
  <c r="F19"/>
  <c r="F20"/>
  <c r="G20" s="1"/>
  <c r="F21"/>
  <c r="G21" s="1"/>
  <c r="F22"/>
  <c r="F23"/>
  <c r="F24"/>
  <c r="G24" s="1"/>
  <c r="F25"/>
  <c r="G25" s="1"/>
  <c r="F26"/>
  <c r="F27"/>
  <c r="F28"/>
  <c r="G28" s="1"/>
  <c r="F29"/>
  <c r="G29" s="1"/>
  <c r="F30"/>
  <c r="F31"/>
  <c r="F32"/>
  <c r="G32" s="1"/>
  <c r="F33"/>
  <c r="G33" s="1"/>
  <c r="F34"/>
  <c r="F35"/>
  <c r="F2"/>
  <c r="G2" s="1"/>
  <c r="G3"/>
  <c r="G6"/>
  <c r="G7"/>
  <c r="G10"/>
  <c r="G11"/>
  <c r="G14"/>
  <c r="G15"/>
  <c r="G18"/>
  <c r="G19"/>
  <c r="G22"/>
  <c r="G23"/>
  <c r="G26"/>
  <c r="G27"/>
  <c r="G30"/>
  <c r="G31"/>
  <c r="G34"/>
  <c r="G35"/>
  <c r="B15" i="2" l="1"/>
  <c r="B22" s="1"/>
  <c r="B21"/>
  <c r="B23" l="1"/>
</calcChain>
</file>

<file path=xl/sharedStrings.xml><?xml version="1.0" encoding="utf-8"?>
<sst xmlns="http://schemas.openxmlformats.org/spreadsheetml/2006/main" count="41" uniqueCount="39">
  <si>
    <t>Pritisak</t>
  </si>
  <si>
    <t>Temperatura</t>
  </si>
  <si>
    <t>Temperatura[K]</t>
  </si>
  <si>
    <t>kg/m^3</t>
  </si>
  <si>
    <t>Pa</t>
  </si>
  <si>
    <t>°C</t>
  </si>
  <si>
    <t>M</t>
  </si>
  <si>
    <t>g/mol</t>
  </si>
  <si>
    <t>R</t>
  </si>
  <si>
    <t>J/molK</t>
  </si>
  <si>
    <t>Gustina vazduha[kg/m^3]</t>
  </si>
  <si>
    <t>Kt</t>
  </si>
  <si>
    <t>Nadmorska visina[m]</t>
  </si>
  <si>
    <t>Pritisak[Pa]</t>
  </si>
  <si>
    <t>Ka</t>
  </si>
  <si>
    <r>
      <t>Temperatura[</t>
    </r>
    <r>
      <rPr>
        <b/>
        <sz val="11"/>
        <color theme="1"/>
        <rFont val="Calibri"/>
        <family val="2"/>
        <charset val="238"/>
      </rPr>
      <t>°C]</t>
    </r>
  </si>
  <si>
    <t>Gustina vazduha na 0 [m]</t>
  </si>
  <si>
    <t>Temperatura [°C]</t>
  </si>
  <si>
    <t>Temperatura [K]</t>
  </si>
  <si>
    <t>Nadmorksa visina[m]</t>
  </si>
  <si>
    <t>Brzina vjetra[m/s]</t>
  </si>
  <si>
    <t>Vremenski interval[h]</t>
  </si>
  <si>
    <t>Koeficijent trenja</t>
  </si>
  <si>
    <t>Efikasnost</t>
  </si>
  <si>
    <t>Ca[KM/m^2]</t>
  </si>
  <si>
    <t>Ma[kg/m^2]</t>
  </si>
  <si>
    <t>D[m]</t>
  </si>
  <si>
    <t>A[m^2]</t>
  </si>
  <si>
    <t>Visina stuba[m]</t>
  </si>
  <si>
    <t>Cijena agregata[KM]</t>
  </si>
  <si>
    <t>Masa agregata[kg]</t>
  </si>
  <si>
    <t>Cijena stuba[KM]</t>
  </si>
  <si>
    <t>Veff[m/s^2] na 10m</t>
  </si>
  <si>
    <t xml:space="preserve">Veff[m/s^2]  </t>
  </si>
  <si>
    <t>v^3*t</t>
  </si>
  <si>
    <t>Ukupna cijena</t>
  </si>
  <si>
    <t>c</t>
  </si>
  <si>
    <t>Pmax[W]</t>
  </si>
  <si>
    <t>Snaga generatora[W]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</si>
</sst>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</font>
    <font>
      <b/>
      <sz val="11"/>
      <color theme="1"/>
      <name val="Calibri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0" xfId="0" applyFont="1" applyFill="1"/>
    <xf numFmtId="0" fontId="0" fillId="2" borderId="0" xfId="0" applyFill="1"/>
    <xf numFmtId="0" fontId="0" fillId="4" borderId="0" xfId="0" applyFill="1"/>
    <xf numFmtId="0" fontId="2" fillId="4" borderId="0" xfId="0" applyFont="1" applyFill="1"/>
    <xf numFmtId="0" fontId="0" fillId="3" borderId="0" xfId="0" applyFill="1"/>
    <xf numFmtId="10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bs-Latn-BA"/>
  <c:chart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Zadatak1!$E$2:$E$35</c:f>
              <c:numCache>
                <c:formatCode>General</c:formatCode>
                <c:ptCount val="34"/>
                <c:pt idx="0">
                  <c:v>-21</c:v>
                </c:pt>
                <c:pt idx="1">
                  <c:v>-19</c:v>
                </c:pt>
                <c:pt idx="2">
                  <c:v>-17</c:v>
                </c:pt>
                <c:pt idx="3">
                  <c:v>-15</c:v>
                </c:pt>
                <c:pt idx="4">
                  <c:v>-13</c:v>
                </c:pt>
                <c:pt idx="5">
                  <c:v>-11</c:v>
                </c:pt>
                <c:pt idx="6">
                  <c:v>-9</c:v>
                </c:pt>
                <c:pt idx="7">
                  <c:v>-7</c:v>
                </c:pt>
                <c:pt idx="8">
                  <c:v>-5</c:v>
                </c:pt>
                <c:pt idx="9">
                  <c:v>-3</c:v>
                </c:pt>
                <c:pt idx="10">
                  <c:v>-1</c:v>
                </c:pt>
                <c:pt idx="11">
                  <c:v>1</c:v>
                </c:pt>
                <c:pt idx="12">
                  <c:v>3</c:v>
                </c:pt>
                <c:pt idx="13">
                  <c:v>5</c:v>
                </c:pt>
                <c:pt idx="14">
                  <c:v>7</c:v>
                </c:pt>
                <c:pt idx="15">
                  <c:v>9</c:v>
                </c:pt>
                <c:pt idx="16">
                  <c:v>11</c:v>
                </c:pt>
                <c:pt idx="17">
                  <c:v>13</c:v>
                </c:pt>
                <c:pt idx="18">
                  <c:v>15</c:v>
                </c:pt>
                <c:pt idx="19">
                  <c:v>17</c:v>
                </c:pt>
                <c:pt idx="20">
                  <c:v>19</c:v>
                </c:pt>
                <c:pt idx="21">
                  <c:v>21</c:v>
                </c:pt>
                <c:pt idx="22">
                  <c:v>23</c:v>
                </c:pt>
                <c:pt idx="23">
                  <c:v>25</c:v>
                </c:pt>
                <c:pt idx="24">
                  <c:v>27</c:v>
                </c:pt>
                <c:pt idx="25">
                  <c:v>29</c:v>
                </c:pt>
                <c:pt idx="26">
                  <c:v>31</c:v>
                </c:pt>
                <c:pt idx="27">
                  <c:v>33</c:v>
                </c:pt>
                <c:pt idx="28">
                  <c:v>35</c:v>
                </c:pt>
                <c:pt idx="29">
                  <c:v>37</c:v>
                </c:pt>
                <c:pt idx="30">
                  <c:v>39</c:v>
                </c:pt>
                <c:pt idx="31">
                  <c:v>41</c:v>
                </c:pt>
                <c:pt idx="32">
                  <c:v>43</c:v>
                </c:pt>
                <c:pt idx="33">
                  <c:v>45</c:v>
                </c:pt>
              </c:numCache>
            </c:numRef>
          </c:xVal>
          <c:yVal>
            <c:numRef>
              <c:f>Zadatak1!$G$2:$G$35</c:f>
              <c:numCache>
                <c:formatCode>General</c:formatCode>
                <c:ptCount val="34"/>
                <c:pt idx="0">
                  <c:v>1.4001622193913532</c:v>
                </c:pt>
                <c:pt idx="1">
                  <c:v>1.3891438269507366</c:v>
                </c:pt>
                <c:pt idx="2">
                  <c:v>1.3782974960746814</c:v>
                </c:pt>
                <c:pt idx="3">
                  <c:v>1.3676192276565164</c:v>
                </c:pt>
                <c:pt idx="4">
                  <c:v>1.3571051455680558</c:v>
                </c:pt>
                <c:pt idx="5">
                  <c:v>1.346751491968452</c:v>
                </c:pt>
                <c:pt idx="6">
                  <c:v>1.3365546228261584</c:v>
                </c:pt>
                <c:pt idx="7">
                  <c:v>1.3265110036427943</c:v>
                </c:pt>
                <c:pt idx="8">
                  <c:v>1.3166172053683749</c:v>
                </c:pt>
                <c:pt idx="9">
                  <c:v>1.3068699004979814</c:v>
                </c:pt>
                <c:pt idx="10">
                  <c:v>1.2972658593405464</c:v>
                </c:pt>
                <c:pt idx="11">
                  <c:v>1.2878019464509565</c:v>
                </c:pt>
                <c:pt idx="12">
                  <c:v>1.2784751172171998</c:v>
                </c:pt>
                <c:pt idx="13">
                  <c:v>1.2692824145947501</c:v>
                </c:pt>
                <c:pt idx="14">
                  <c:v>1.2602209659808306</c:v>
                </c:pt>
                <c:pt idx="15">
                  <c:v>1.2512879802216188</c:v>
                </c:pt>
                <c:pt idx="16">
                  <c:v>1.2424807447458373</c:v>
                </c:pt>
                <c:pt idx="17">
                  <c:v>1.2337966228185557</c:v>
                </c:pt>
                <c:pt idx="18">
                  <c:v>1.2252330509093519</c:v>
                </c:pt>
                <c:pt idx="19">
                  <c:v>1.2167875361693252</c:v>
                </c:pt>
                <c:pt idx="20">
                  <c:v>1.2084576540117395</c:v>
                </c:pt>
                <c:pt idx="21">
                  <c:v>1.2002410457913639</c:v>
                </c:pt>
                <c:pt idx="22">
                  <c:v>1.1921354165778482</c:v>
                </c:pt>
                <c:pt idx="23">
                  <c:v>1.1841385330187144</c:v>
                </c:pt>
                <c:pt idx="24">
                  <c:v>1.1762482212877885</c:v>
                </c:pt>
                <c:pt idx="25">
                  <c:v>1.1684623651151076</c:v>
                </c:pt>
                <c:pt idx="26">
                  <c:v>1.1607789038945575</c:v>
                </c:pt>
                <c:pt idx="27">
                  <c:v>1.1531958308656858</c:v>
                </c:pt>
                <c:pt idx="28">
                  <c:v>1.1457111913663141</c:v>
                </c:pt>
                <c:pt idx="29">
                  <c:v>1.1383230811527638</c:v>
                </c:pt>
                <c:pt idx="30">
                  <c:v>1.1310296447846537</c:v>
                </c:pt>
                <c:pt idx="31">
                  <c:v>1.1238290740713981</c:v>
                </c:pt>
                <c:pt idx="32">
                  <c:v>1.1167196065776679</c:v>
                </c:pt>
                <c:pt idx="33">
                  <c:v>1.1096995241852261</c:v>
                </c:pt>
              </c:numCache>
            </c:numRef>
          </c:yVal>
        </c:ser>
        <c:axId val="100707328"/>
        <c:axId val="100705792"/>
      </c:scatterChart>
      <c:valAx>
        <c:axId val="10070732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T[°C]</a:t>
                </a:r>
              </a:p>
            </c:rich>
          </c:tx>
          <c:layout/>
        </c:title>
        <c:numFmt formatCode="General" sourceLinked="1"/>
        <c:tickLblPos val="nextTo"/>
        <c:crossAx val="100705792"/>
        <c:crosses val="autoZero"/>
        <c:crossBetween val="midCat"/>
      </c:valAx>
      <c:valAx>
        <c:axId val="10070579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Gustina</a:t>
                </a:r>
                <a:r>
                  <a:rPr lang="en-US" baseline="0"/>
                  <a:t> vazduha [kg/m^3]</a:t>
                </a:r>
              </a:p>
              <a:p>
                <a:pPr>
                  <a:defRPr/>
                </a:pPr>
                <a:endParaRPr lang="bs-Latn-BA"/>
              </a:p>
            </c:rich>
          </c:tx>
          <c:layout>
            <c:manualLayout>
              <c:xMode val="edge"/>
              <c:yMode val="edge"/>
              <c:x val="3.888888888888889E-2"/>
              <c:y val="0.1509277486147565"/>
            </c:manualLayout>
          </c:layout>
        </c:title>
        <c:numFmt formatCode="General" sourceLinked="1"/>
        <c:tickLblPos val="nextTo"/>
        <c:crossAx val="100707328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bs-Latn-BA"/>
  <c:chart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Zadatak1!$I$2:$I$42</c:f>
              <c:numCache>
                <c:formatCode>General</c:formatCode>
                <c:ptCount val="41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1050</c:v>
                </c:pt>
                <c:pt idx="22">
                  <c:v>1100</c:v>
                </c:pt>
                <c:pt idx="23">
                  <c:v>1150</c:v>
                </c:pt>
                <c:pt idx="24">
                  <c:v>1200</c:v>
                </c:pt>
                <c:pt idx="25">
                  <c:v>1250</c:v>
                </c:pt>
                <c:pt idx="26">
                  <c:v>1300</c:v>
                </c:pt>
                <c:pt idx="27">
                  <c:v>1350</c:v>
                </c:pt>
                <c:pt idx="28">
                  <c:v>1400</c:v>
                </c:pt>
                <c:pt idx="29">
                  <c:v>1450</c:v>
                </c:pt>
                <c:pt idx="30">
                  <c:v>1500</c:v>
                </c:pt>
                <c:pt idx="31">
                  <c:v>1550</c:v>
                </c:pt>
                <c:pt idx="32">
                  <c:v>1600</c:v>
                </c:pt>
                <c:pt idx="33">
                  <c:v>1650</c:v>
                </c:pt>
                <c:pt idx="34">
                  <c:v>1700</c:v>
                </c:pt>
                <c:pt idx="35">
                  <c:v>1750</c:v>
                </c:pt>
                <c:pt idx="36">
                  <c:v>1800</c:v>
                </c:pt>
                <c:pt idx="37">
                  <c:v>1850</c:v>
                </c:pt>
                <c:pt idx="38">
                  <c:v>1900</c:v>
                </c:pt>
                <c:pt idx="39">
                  <c:v>1950</c:v>
                </c:pt>
                <c:pt idx="40">
                  <c:v>2000</c:v>
                </c:pt>
              </c:numCache>
            </c:numRef>
          </c:xVal>
          <c:yVal>
            <c:numRef>
              <c:f>Zadatak1!$K$2:$K$42</c:f>
              <c:numCache>
                <c:formatCode>General</c:formatCode>
                <c:ptCount val="41"/>
                <c:pt idx="0">
                  <c:v>1.2252330509093519</c:v>
                </c:pt>
                <c:pt idx="1">
                  <c:v>1.2179874817951448</c:v>
                </c:pt>
                <c:pt idx="2">
                  <c:v>1.210784760261445</c:v>
                </c:pt>
                <c:pt idx="3">
                  <c:v>1.2036246329237179</c:v>
                </c:pt>
                <c:pt idx="4">
                  <c:v>1.1965068478958509</c:v>
                </c:pt>
                <c:pt idx="5">
                  <c:v>1.1894311547812908</c:v>
                </c:pt>
                <c:pt idx="6">
                  <c:v>1.1823973046642353</c:v>
                </c:pt>
                <c:pt idx="7">
                  <c:v>1.1754050501008784</c:v>
                </c:pt>
                <c:pt idx="8">
                  <c:v>1.1684541451107029</c:v>
                </c:pt>
                <c:pt idx="9">
                  <c:v>1.1615443451678287</c:v>
                </c:pt>
                <c:pt idx="10">
                  <c:v>1.1546754071924097</c:v>
                </c:pt>
                <c:pt idx="11">
                  <c:v>1.1478470895420836</c:v>
                </c:pt>
                <c:pt idx="12">
                  <c:v>1.1410591520034692</c:v>
                </c:pt>
                <c:pt idx="13">
                  <c:v>1.1343113557837188</c:v>
                </c:pt>
                <c:pt idx="14">
                  <c:v>1.1276034635021148</c:v>
                </c:pt>
                <c:pt idx="15">
                  <c:v>1.1209352391817218</c:v>
                </c:pt>
                <c:pt idx="16">
                  <c:v>1.1143064482410812</c:v>
                </c:pt>
                <c:pt idx="17">
                  <c:v>1.1077168574859633</c:v>
                </c:pt>
                <c:pt idx="18">
                  <c:v>1.1011662351011611</c:v>
                </c:pt>
                <c:pt idx="19">
                  <c:v>1.094654350642335</c:v>
                </c:pt>
                <c:pt idx="20">
                  <c:v>1.0881809750279086</c:v>
                </c:pt>
                <c:pt idx="21">
                  <c:v>1.0817458805310061</c:v>
                </c:pt>
                <c:pt idx="22">
                  <c:v>1.0753488407714442</c:v>
                </c:pt>
                <c:pt idx="23">
                  <c:v>1.0689896307077682</c:v>
                </c:pt>
                <c:pt idx="24">
                  <c:v>1.0626680266293316</c:v>
                </c:pt>
                <c:pt idx="25">
                  <c:v>1.056383806148431</c:v>
                </c:pt>
                <c:pt idx="26">
                  <c:v>1.0501367481924802</c:v>
                </c:pt>
                <c:pt idx="27">
                  <c:v>1.0439266329962325</c:v>
                </c:pt>
                <c:pt idx="28">
                  <c:v>1.0377532420940512</c:v>
                </c:pt>
                <c:pt idx="29">
                  <c:v>1.031616358312224</c:v>
                </c:pt>
                <c:pt idx="30">
                  <c:v>1.025515765761321</c:v>
                </c:pt>
                <c:pt idx="31">
                  <c:v>1.0194512498286032</c:v>
                </c:pt>
                <c:pt idx="32">
                  <c:v>1.0134225971704698</c:v>
                </c:pt>
                <c:pt idx="33">
                  <c:v>1.0074295957049542</c:v>
                </c:pt>
                <c:pt idx="34">
                  <c:v>1.001472034604264</c:v>
                </c:pt>
                <c:pt idx="35">
                  <c:v>0.99554970428736211</c:v>
                </c:pt>
                <c:pt idx="36">
                  <c:v>0.98966239641259601</c:v>
                </c:pt>
                <c:pt idx="37">
                  <c:v>0.98380990387036715</c:v>
                </c:pt>
                <c:pt idx="38">
                  <c:v>0.97799202077584624</c:v>
                </c:pt>
                <c:pt idx="39">
                  <c:v>0.97220854246172883</c:v>
                </c:pt>
                <c:pt idx="40">
                  <c:v>0.96645926547103667</c:v>
                </c:pt>
              </c:numCache>
            </c:numRef>
          </c:yVal>
        </c:ser>
        <c:axId val="199100288"/>
        <c:axId val="199098752"/>
      </c:scatterChart>
      <c:valAx>
        <c:axId val="19910028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Nadmorska</a:t>
                </a:r>
                <a:r>
                  <a:rPr lang="en-US" baseline="0"/>
                  <a:t> visina[m]</a:t>
                </a:r>
              </a:p>
            </c:rich>
          </c:tx>
          <c:layout/>
        </c:title>
        <c:numFmt formatCode="General" sourceLinked="1"/>
        <c:tickLblPos val="nextTo"/>
        <c:crossAx val="199098752"/>
        <c:crosses val="autoZero"/>
        <c:crossBetween val="midCat"/>
      </c:valAx>
      <c:valAx>
        <c:axId val="19909875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Gustina</a:t>
                </a:r>
                <a:r>
                  <a:rPr lang="en-US" baseline="0"/>
                  <a:t> vazduha[kg/m^3]</a:t>
                </a:r>
              </a:p>
            </c:rich>
          </c:tx>
          <c:layout/>
        </c:title>
        <c:numFmt formatCode="General" sourceLinked="1"/>
        <c:tickLblPos val="nextTo"/>
        <c:crossAx val="199100288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85725</xdr:colOff>
      <xdr:row>43</xdr:row>
      <xdr:rowOff>171450</xdr:rowOff>
    </xdr:from>
    <xdr:to>
      <xdr:col>6</xdr:col>
      <xdr:colOff>1571625</xdr:colOff>
      <xdr:row>58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304800</xdr:colOff>
      <xdr:row>43</xdr:row>
      <xdr:rowOff>180975</xdr:rowOff>
    </xdr:from>
    <xdr:to>
      <xdr:col>11</xdr:col>
      <xdr:colOff>600075</xdr:colOff>
      <xdr:row>58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42"/>
  <sheetViews>
    <sheetView workbookViewId="0">
      <selection activeCell="M1" sqref="M1"/>
    </sheetView>
  </sheetViews>
  <sheetFormatPr defaultRowHeight="15"/>
  <cols>
    <col min="1" max="1" width="23.5703125" bestFit="1" customWidth="1"/>
    <col min="5" max="5" width="15.85546875" bestFit="1" customWidth="1"/>
    <col min="6" max="6" width="15.140625" bestFit="1" customWidth="1"/>
    <col min="7" max="7" width="23.85546875" bestFit="1" customWidth="1"/>
    <col min="9" max="9" width="20" bestFit="1" customWidth="1"/>
    <col min="10" max="10" width="11.140625" bestFit="1" customWidth="1"/>
    <col min="11" max="11" width="23.85546875" bestFit="1" customWidth="1"/>
    <col min="14" max="14" width="23.85546875" bestFit="1" customWidth="1"/>
  </cols>
  <sheetData>
    <row r="1" spans="1:15">
      <c r="A1" s="1" t="s">
        <v>16</v>
      </c>
      <c r="B1" s="3">
        <v>1.2250000000000001</v>
      </c>
      <c r="C1" s="3" t="s">
        <v>3</v>
      </c>
      <c r="E1" s="1" t="s">
        <v>15</v>
      </c>
      <c r="F1" s="1" t="s">
        <v>2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10</v>
      </c>
      <c r="L1" s="1" t="s">
        <v>14</v>
      </c>
      <c r="N1" s="1" t="s">
        <v>17</v>
      </c>
      <c r="O1" s="3">
        <v>-9</v>
      </c>
    </row>
    <row r="2" spans="1:15">
      <c r="A2" s="1" t="s">
        <v>0</v>
      </c>
      <c r="B2" s="3">
        <v>101325</v>
      </c>
      <c r="C2" s="3" t="s">
        <v>4</v>
      </c>
      <c r="E2" s="2">
        <v>-21</v>
      </c>
      <c r="F2" s="2">
        <f>273.15+E2</f>
        <v>252.14999999999998</v>
      </c>
      <c r="G2" s="2">
        <f>$B$2*$B$4*0.001/($B$5*F2)</f>
        <v>1.4001622193913532</v>
      </c>
      <c r="H2" s="2">
        <f>G2/$B$1</f>
        <v>1.1429895668500842</v>
      </c>
      <c r="I2" s="3">
        <v>0</v>
      </c>
      <c r="J2" s="3">
        <f>$B$2*EXP(-9.81*$B$4*0.001*I2/($B$5*$F$20))</f>
        <v>101325</v>
      </c>
      <c r="K2" s="3">
        <f>J2*$B$4*0.001/($B$5*$F$20)</f>
        <v>1.2252330509093519</v>
      </c>
      <c r="L2" s="3">
        <f>K2/$B$1</f>
        <v>1.0001902456402871</v>
      </c>
      <c r="N2" s="5" t="s">
        <v>18</v>
      </c>
      <c r="O2" s="3">
        <f>273.15+O1</f>
        <v>264.14999999999998</v>
      </c>
    </row>
    <row r="3" spans="1:15">
      <c r="A3" s="1" t="s">
        <v>1</v>
      </c>
      <c r="B3" s="3">
        <v>15</v>
      </c>
      <c r="C3" s="4" t="s">
        <v>5</v>
      </c>
      <c r="E3" s="2">
        <v>-19</v>
      </c>
      <c r="F3" s="2">
        <f t="shared" ref="F3:F35" si="0">273.15+E3</f>
        <v>254.14999999999998</v>
      </c>
      <c r="G3" s="2">
        <f t="shared" ref="G3:G35" si="1">$B$2*$B$4*0.001/($B$5*F3)</f>
        <v>1.3891438269507366</v>
      </c>
      <c r="H3" s="2">
        <f t="shared" ref="H3:H35" si="2">G3/$B$1</f>
        <v>1.1339949607761115</v>
      </c>
      <c r="I3" s="3">
        <v>50</v>
      </c>
      <c r="J3" s="3">
        <f t="shared" ref="J3:J42" si="3">$B$2*EXP(-9.81*$B$4*0.001*I3/($B$5*$F$20))</f>
        <v>100725.80192094711</v>
      </c>
      <c r="K3" s="3">
        <f t="shared" ref="K3:K42" si="4">J3*$B$4*0.001/($B$5*$F$20)</f>
        <v>1.2179874817951448</v>
      </c>
      <c r="L3" s="3">
        <f t="shared" ref="L3:L42" si="5">K3/$B$1</f>
        <v>0.99427549534297532</v>
      </c>
      <c r="N3" s="5" t="s">
        <v>19</v>
      </c>
      <c r="O3" s="3">
        <v>340</v>
      </c>
    </row>
    <row r="4" spans="1:15">
      <c r="A4" s="1" t="s">
        <v>6</v>
      </c>
      <c r="B4" s="3">
        <v>28.97</v>
      </c>
      <c r="C4" s="4" t="s">
        <v>7</v>
      </c>
      <c r="E4" s="2">
        <v>-17</v>
      </c>
      <c r="F4" s="2">
        <f t="shared" si="0"/>
        <v>256.14999999999998</v>
      </c>
      <c r="G4" s="2">
        <f t="shared" si="1"/>
        <v>1.3782974960746814</v>
      </c>
      <c r="H4" s="2">
        <f t="shared" si="2"/>
        <v>1.1251408131221889</v>
      </c>
      <c r="I4" s="3">
        <v>100</v>
      </c>
      <c r="J4" s="3">
        <f t="shared" si="3"/>
        <v>100130.14727478777</v>
      </c>
      <c r="K4" s="3">
        <f t="shared" si="4"/>
        <v>1.210784760261445</v>
      </c>
      <c r="L4" s="3">
        <f t="shared" si="5"/>
        <v>0.98839572266240405</v>
      </c>
      <c r="N4" s="5" t="s">
        <v>10</v>
      </c>
      <c r="O4" s="2">
        <f>$B$2*EXP(-9.81*$B$4*0.001*O3/($B$5*O2))*0.001*$B$4/($B$5*O2)</f>
        <v>1.279025725825663</v>
      </c>
    </row>
    <row r="5" spans="1:15">
      <c r="A5" s="1" t="s">
        <v>8</v>
      </c>
      <c r="B5" s="3">
        <v>8.3143399999999996</v>
      </c>
      <c r="C5" s="4" t="s">
        <v>9</v>
      </c>
      <c r="E5" s="2">
        <v>-15</v>
      </c>
      <c r="F5" s="2">
        <f t="shared" si="0"/>
        <v>258.14999999999998</v>
      </c>
      <c r="G5" s="2">
        <f t="shared" si="1"/>
        <v>1.3676192276565164</v>
      </c>
      <c r="H5" s="2">
        <f t="shared" si="2"/>
        <v>1.1164238593114419</v>
      </c>
      <c r="I5" s="3">
        <v>150</v>
      </c>
      <c r="J5" s="3">
        <f t="shared" si="3"/>
        <v>99538.015106987747</v>
      </c>
      <c r="K5" s="3">
        <f t="shared" si="4"/>
        <v>1.2036246329237179</v>
      </c>
      <c r="L5" s="3">
        <f t="shared" si="5"/>
        <v>0.98255072075405536</v>
      </c>
    </row>
    <row r="6" spans="1:15">
      <c r="E6" s="2">
        <v>-13</v>
      </c>
      <c r="F6" s="2">
        <f t="shared" si="0"/>
        <v>260.14999999999998</v>
      </c>
      <c r="G6" s="2">
        <f t="shared" si="1"/>
        <v>1.3571051455680558</v>
      </c>
      <c r="H6" s="2">
        <f t="shared" si="2"/>
        <v>1.1078409351575966</v>
      </c>
      <c r="I6" s="3">
        <v>200</v>
      </c>
      <c r="J6" s="3">
        <f t="shared" si="3"/>
        <v>98949.384586930057</v>
      </c>
      <c r="K6" s="3">
        <f t="shared" si="4"/>
        <v>1.1965068478958509</v>
      </c>
      <c r="L6" s="3">
        <f t="shared" si="5"/>
        <v>0.97674028399661295</v>
      </c>
    </row>
    <row r="7" spans="1:15">
      <c r="E7" s="2">
        <v>-11</v>
      </c>
      <c r="F7" s="2">
        <f t="shared" si="0"/>
        <v>262.14999999999998</v>
      </c>
      <c r="G7" s="2">
        <f t="shared" si="1"/>
        <v>1.346751491968452</v>
      </c>
      <c r="H7" s="2">
        <f t="shared" si="2"/>
        <v>1.0993889730354709</v>
      </c>
      <c r="I7" s="3">
        <v>250</v>
      </c>
      <c r="J7" s="3">
        <f t="shared" si="3"/>
        <v>98364.235007182171</v>
      </c>
      <c r="K7" s="3">
        <f t="shared" si="4"/>
        <v>1.1894311547812908</v>
      </c>
      <c r="L7" s="3">
        <f t="shared" si="5"/>
        <v>0.97096420798472716</v>
      </c>
    </row>
    <row r="8" spans="1:15">
      <c r="E8" s="2">
        <v>-9</v>
      </c>
      <c r="F8" s="2">
        <f t="shared" si="0"/>
        <v>264.14999999999998</v>
      </c>
      <c r="G8" s="2">
        <f t="shared" si="1"/>
        <v>1.3365546228261584</v>
      </c>
      <c r="H8" s="2">
        <f t="shared" si="2"/>
        <v>1.0910649982254355</v>
      </c>
      <c r="I8" s="3">
        <v>300</v>
      </c>
      <c r="J8" s="3">
        <f t="shared" si="3"/>
        <v>97782.545782767542</v>
      </c>
      <c r="K8" s="3">
        <f t="shared" si="4"/>
        <v>1.1823973046642353</v>
      </c>
      <c r="L8" s="3">
        <f t="shared" si="5"/>
        <v>0.96522228952182465</v>
      </c>
    </row>
    <row r="9" spans="1:15">
      <c r="E9" s="2">
        <v>-7</v>
      </c>
      <c r="F9" s="2">
        <f t="shared" si="0"/>
        <v>266.14999999999998</v>
      </c>
      <c r="G9" s="2">
        <f t="shared" si="1"/>
        <v>1.3265110036427943</v>
      </c>
      <c r="H9" s="2">
        <f t="shared" si="2"/>
        <v>1.0828661254226892</v>
      </c>
      <c r="I9" s="3">
        <v>350</v>
      </c>
      <c r="J9" s="3">
        <f t="shared" si="3"/>
        <v>97204.296450441499</v>
      </c>
      <c r="K9" s="3">
        <f t="shared" si="4"/>
        <v>1.1754050501008784</v>
      </c>
      <c r="L9" s="3">
        <f t="shared" si="5"/>
        <v>0.95951432661296188</v>
      </c>
    </row>
    <row r="10" spans="1:15">
      <c r="E10" s="2">
        <v>-5</v>
      </c>
      <c r="F10" s="2">
        <f t="shared" si="0"/>
        <v>268.14999999999998</v>
      </c>
      <c r="G10" s="2">
        <f t="shared" si="1"/>
        <v>1.3166172053683749</v>
      </c>
      <c r="H10" s="2">
        <f t="shared" si="2"/>
        <v>1.0747895554027549</v>
      </c>
      <c r="I10" s="3">
        <v>400</v>
      </c>
      <c r="J10" s="3">
        <f t="shared" si="3"/>
        <v>96629.466667971283</v>
      </c>
      <c r="K10" s="3">
        <f t="shared" si="4"/>
        <v>1.1684541451107029</v>
      </c>
      <c r="L10" s="3">
        <f t="shared" si="5"/>
        <v>0.95384011845771655</v>
      </c>
    </row>
    <row r="11" spans="1:15">
      <c r="E11" s="2">
        <v>-3</v>
      </c>
      <c r="F11" s="2">
        <f t="shared" si="0"/>
        <v>270.14999999999998</v>
      </c>
      <c r="G11" s="2">
        <f t="shared" si="1"/>
        <v>1.3068699004979814</v>
      </c>
      <c r="H11" s="2">
        <f t="shared" si="2"/>
        <v>1.0668325718350868</v>
      </c>
      <c r="I11" s="3">
        <v>450</v>
      </c>
      <c r="J11" s="3">
        <f t="shared" si="3"/>
        <v>96058.036213420535</v>
      </c>
      <c r="K11" s="3">
        <f t="shared" si="4"/>
        <v>1.1615443451678287</v>
      </c>
      <c r="L11" s="3">
        <f t="shared" si="5"/>
        <v>0.94819946544312539</v>
      </c>
    </row>
    <row r="12" spans="1:15">
      <c r="E12" s="2">
        <v>-1</v>
      </c>
      <c r="F12" s="2">
        <f t="shared" si="0"/>
        <v>272.14999999999998</v>
      </c>
      <c r="G12" s="2">
        <f t="shared" si="1"/>
        <v>1.2972658593405464</v>
      </c>
      <c r="H12" s="2">
        <f t="shared" si="2"/>
        <v>1.0589925382371808</v>
      </c>
      <c r="I12" s="3">
        <v>500</v>
      </c>
      <c r="J12" s="3">
        <f t="shared" si="3"/>
        <v>95489.984984437804</v>
      </c>
      <c r="K12" s="3">
        <f t="shared" si="4"/>
        <v>1.1546754071924097</v>
      </c>
      <c r="L12" s="3">
        <f t="shared" si="5"/>
        <v>0.94259216913666088</v>
      </c>
    </row>
    <row r="13" spans="1:15">
      <c r="E13" s="2">
        <v>1</v>
      </c>
      <c r="F13" s="2">
        <f t="shared" si="0"/>
        <v>274.14999999999998</v>
      </c>
      <c r="G13" s="2">
        <f t="shared" si="1"/>
        <v>1.2878019464509565</v>
      </c>
      <c r="H13" s="2">
        <f t="shared" si="2"/>
        <v>1.0512668950620052</v>
      </c>
      <c r="I13" s="3">
        <v>550</v>
      </c>
      <c r="J13" s="3">
        <f t="shared" si="3"/>
        <v>94925.292997549419</v>
      </c>
      <c r="K13" s="3">
        <f t="shared" si="4"/>
        <v>1.1478470895420836</v>
      </c>
      <c r="L13" s="3">
        <f t="shared" si="5"/>
        <v>0.93701803227925184</v>
      </c>
    </row>
    <row r="14" spans="1:15">
      <c r="E14" s="2">
        <v>3</v>
      </c>
      <c r="F14" s="2">
        <f t="shared" si="0"/>
        <v>276.14999999999998</v>
      </c>
      <c r="G14" s="2">
        <f t="shared" si="1"/>
        <v>1.2784751172171998</v>
      </c>
      <c r="H14" s="2">
        <f t="shared" si="2"/>
        <v>1.0436531569119998</v>
      </c>
      <c r="I14" s="3">
        <v>600</v>
      </c>
      <c r="J14" s="3">
        <f t="shared" si="3"/>
        <v>94363.940387456489</v>
      </c>
      <c r="K14" s="3">
        <f t="shared" si="4"/>
        <v>1.1410591520034692</v>
      </c>
      <c r="L14" s="3">
        <f t="shared" si="5"/>
        <v>0.93147685877834208</v>
      </c>
    </row>
    <row r="15" spans="1:15">
      <c r="E15" s="2">
        <v>5</v>
      </c>
      <c r="F15" s="2">
        <f t="shared" si="0"/>
        <v>278.14999999999998</v>
      </c>
      <c r="G15" s="2">
        <f t="shared" si="1"/>
        <v>1.2692824145947501</v>
      </c>
      <c r="H15" s="2">
        <f t="shared" si="2"/>
        <v>1.0361489098732652</v>
      </c>
      <c r="I15" s="3">
        <v>650</v>
      </c>
      <c r="J15" s="3">
        <f t="shared" si="3"/>
        <v>93805.907406336075</v>
      </c>
      <c r="K15" s="3">
        <f t="shared" si="4"/>
        <v>1.1343113557837188</v>
      </c>
      <c r="L15" s="3">
        <f t="shared" si="5"/>
        <v>0.9259684537009949</v>
      </c>
    </row>
    <row r="16" spans="1:15">
      <c r="E16" s="2">
        <v>7</v>
      </c>
      <c r="F16" s="2">
        <f t="shared" si="0"/>
        <v>280.14999999999998</v>
      </c>
      <c r="G16" s="2">
        <f t="shared" si="1"/>
        <v>1.2602209659808306</v>
      </c>
      <c r="H16" s="2">
        <f t="shared" si="2"/>
        <v>1.0287518089639431</v>
      </c>
      <c r="I16" s="3">
        <v>700</v>
      </c>
      <c r="J16" s="3">
        <f t="shared" si="3"/>
        <v>93251.174423146425</v>
      </c>
      <c r="K16" s="3">
        <f t="shared" si="4"/>
        <v>1.1276034635021148</v>
      </c>
      <c r="L16" s="3">
        <f t="shared" si="5"/>
        <v>0.92049262326703241</v>
      </c>
    </row>
    <row r="17" spans="5:12">
      <c r="E17" s="2">
        <v>9</v>
      </c>
      <c r="F17" s="2">
        <f t="shared" si="0"/>
        <v>282.14999999999998</v>
      </c>
      <c r="G17" s="2">
        <f t="shared" si="1"/>
        <v>1.2512879802216188</v>
      </c>
      <c r="H17" s="2">
        <f t="shared" si="2"/>
        <v>1.0214595756911173</v>
      </c>
      <c r="I17" s="3">
        <v>750</v>
      </c>
      <c r="J17" s="3">
        <f t="shared" si="3"/>
        <v>92699.721922936456</v>
      </c>
      <c r="K17" s="3">
        <f t="shared" si="4"/>
        <v>1.1209352391817218</v>
      </c>
      <c r="L17" s="3">
        <f t="shared" si="5"/>
        <v>0.91504917484222181</v>
      </c>
    </row>
    <row r="18" spans="5:12">
      <c r="E18" s="2">
        <v>11</v>
      </c>
      <c r="F18" s="2">
        <f t="shared" si="0"/>
        <v>284.14999999999998</v>
      </c>
      <c r="G18" s="2">
        <f t="shared" si="1"/>
        <v>1.2424807447458373</v>
      </c>
      <c r="H18" s="2">
        <f t="shared" si="2"/>
        <v>1.0142699957108874</v>
      </c>
      <c r="I18" s="3">
        <v>800</v>
      </c>
      <c r="J18" s="3">
        <f t="shared" si="3"/>
        <v>92151.530506159135</v>
      </c>
      <c r="K18" s="3">
        <f t="shared" si="4"/>
        <v>1.1143064482410812</v>
      </c>
      <c r="L18" s="3">
        <f t="shared" si="5"/>
        <v>0.90963791693149476</v>
      </c>
    </row>
    <row r="19" spans="5:12">
      <c r="E19" s="2">
        <v>13</v>
      </c>
      <c r="F19" s="2">
        <f t="shared" si="0"/>
        <v>286.14999999999998</v>
      </c>
      <c r="G19" s="2">
        <f t="shared" si="1"/>
        <v>1.2337966228185557</v>
      </c>
      <c r="H19" s="2">
        <f t="shared" si="2"/>
        <v>1.0071809165865759</v>
      </c>
      <c r="I19" s="3">
        <v>850</v>
      </c>
      <c r="J19" s="3">
        <f t="shared" si="3"/>
        <v>91606.580887989141</v>
      </c>
      <c r="K19" s="3">
        <f t="shared" si="4"/>
        <v>1.1077168574859633</v>
      </c>
      <c r="L19" s="3">
        <f t="shared" si="5"/>
        <v>0.90425865917221482</v>
      </c>
    </row>
    <row r="20" spans="5:12">
      <c r="E20" s="2">
        <v>15</v>
      </c>
      <c r="F20" s="2">
        <f t="shared" si="0"/>
        <v>288.14999999999998</v>
      </c>
      <c r="G20" s="2">
        <f t="shared" si="1"/>
        <v>1.2252330509093519</v>
      </c>
      <c r="H20" s="2">
        <f t="shared" si="2"/>
        <v>1.0001902456402871</v>
      </c>
      <c r="I20" s="3">
        <v>900</v>
      </c>
      <c r="J20" s="3">
        <f t="shared" si="3"/>
        <v>91064.853897644338</v>
      </c>
      <c r="K20" s="3">
        <f t="shared" si="4"/>
        <v>1.1011662351011611</v>
      </c>
      <c r="L20" s="3">
        <f t="shared" si="5"/>
        <v>0.89891121232747839</v>
      </c>
    </row>
    <row r="21" spans="5:12">
      <c r="E21" s="2">
        <v>17</v>
      </c>
      <c r="F21" s="2">
        <f t="shared" si="0"/>
        <v>290.14999999999998</v>
      </c>
      <c r="G21" s="2">
        <f t="shared" si="1"/>
        <v>1.2167875361693252</v>
      </c>
      <c r="H21" s="2">
        <f t="shared" si="2"/>
        <v>0.99329594789332665</v>
      </c>
      <c r="I21" s="3">
        <v>950</v>
      </c>
      <c r="J21" s="3">
        <f t="shared" si="3"/>
        <v>90526.330477711424</v>
      </c>
      <c r="K21" s="3">
        <f t="shared" si="4"/>
        <v>1.094654350642335</v>
      </c>
      <c r="L21" s="3">
        <f t="shared" si="5"/>
        <v>0.89359538827945706</v>
      </c>
    </row>
    <row r="22" spans="5:12">
      <c r="E22" s="2">
        <v>19</v>
      </c>
      <c r="F22" s="2">
        <f t="shared" si="0"/>
        <v>292.14999999999998</v>
      </c>
      <c r="G22" s="2">
        <f t="shared" si="1"/>
        <v>1.2084576540117395</v>
      </c>
      <c r="H22" s="2">
        <f t="shared" si="2"/>
        <v>0.98649604409121583</v>
      </c>
      <c r="I22" s="3">
        <v>1000</v>
      </c>
      <c r="J22" s="3">
        <f t="shared" si="3"/>
        <v>89990.991683475528</v>
      </c>
      <c r="K22" s="3">
        <f t="shared" si="4"/>
        <v>1.0881809750279086</v>
      </c>
      <c r="L22" s="3">
        <f t="shared" si="5"/>
        <v>0.8883110000227824</v>
      </c>
    </row>
    <row r="23" spans="5:12">
      <c r="E23" s="2">
        <v>21</v>
      </c>
      <c r="F23" s="2">
        <f t="shared" si="0"/>
        <v>294.14999999999998</v>
      </c>
      <c r="G23" s="2">
        <f t="shared" si="1"/>
        <v>1.2002410457913639</v>
      </c>
      <c r="H23" s="2">
        <f t="shared" si="2"/>
        <v>0.97978860880927665</v>
      </c>
      <c r="I23" s="3">
        <v>1050</v>
      </c>
      <c r="J23" s="3">
        <f t="shared" si="3"/>
        <v>89458.818682253681</v>
      </c>
      <c r="K23" s="3">
        <f t="shared" si="4"/>
        <v>1.0817458805310061</v>
      </c>
      <c r="L23" s="3">
        <f t="shared" si="5"/>
        <v>0.88305786165796407</v>
      </c>
    </row>
    <row r="24" spans="5:12">
      <c r="E24" s="2">
        <v>23</v>
      </c>
      <c r="F24" s="2">
        <f t="shared" si="0"/>
        <v>296.14999999999998</v>
      </c>
      <c r="G24" s="2">
        <f t="shared" si="1"/>
        <v>1.1921354165778482</v>
      </c>
      <c r="H24" s="2">
        <f t="shared" si="2"/>
        <v>0.97317176863497801</v>
      </c>
      <c r="I24" s="3">
        <v>1100</v>
      </c>
      <c r="J24" s="3">
        <f t="shared" si="3"/>
        <v>88929.792752732348</v>
      </c>
      <c r="K24" s="3">
        <f t="shared" si="4"/>
        <v>1.0753488407714442</v>
      </c>
      <c r="L24" s="3">
        <f t="shared" si="5"/>
        <v>0.87783578838485232</v>
      </c>
    </row>
    <row r="25" spans="5:12">
      <c r="E25" s="2">
        <v>25</v>
      </c>
      <c r="F25" s="2">
        <f t="shared" si="0"/>
        <v>298.14999999999998</v>
      </c>
      <c r="G25" s="2">
        <f t="shared" si="1"/>
        <v>1.1841385330187144</v>
      </c>
      <c r="H25" s="2">
        <f t="shared" si="2"/>
        <v>0.96664370042344028</v>
      </c>
      <c r="I25" s="3">
        <v>1150</v>
      </c>
      <c r="J25" s="3">
        <f t="shared" si="3"/>
        <v>88403.895284308863</v>
      </c>
      <c r="K25" s="3">
        <f t="shared" si="4"/>
        <v>1.0689896307077682</v>
      </c>
      <c r="L25" s="3">
        <f t="shared" si="5"/>
        <v>0.87264459649613724</v>
      </c>
    </row>
    <row r="26" spans="5:12">
      <c r="E26" s="2">
        <v>27</v>
      </c>
      <c r="F26" s="2">
        <f t="shared" si="0"/>
        <v>300.14999999999998</v>
      </c>
      <c r="G26" s="2">
        <f t="shared" si="1"/>
        <v>1.1762482212877885</v>
      </c>
      <c r="H26" s="2">
        <f t="shared" si="2"/>
        <v>0.96020262962268443</v>
      </c>
      <c r="I26" s="3">
        <v>1200</v>
      </c>
      <c r="J26" s="3">
        <f t="shared" si="3"/>
        <v>87881.107776436649</v>
      </c>
      <c r="K26" s="3">
        <f t="shared" si="4"/>
        <v>1.0626680266293316</v>
      </c>
      <c r="L26" s="3">
        <f t="shared" si="5"/>
        <v>0.86748410337088289</v>
      </c>
    </row>
    <row r="27" spans="5:12">
      <c r="E27" s="2">
        <v>29</v>
      </c>
      <c r="F27" s="2">
        <f t="shared" si="0"/>
        <v>302.14999999999998</v>
      </c>
      <c r="G27" s="2">
        <f t="shared" si="1"/>
        <v>1.1684623651151076</v>
      </c>
      <c r="H27" s="2">
        <f t="shared" si="2"/>
        <v>0.95384682866539383</v>
      </c>
      <c r="I27" s="3">
        <v>1250</v>
      </c>
      <c r="J27" s="3">
        <f t="shared" si="3"/>
        <v>87361.411837974447</v>
      </c>
      <c r="K27" s="3">
        <f t="shared" si="4"/>
        <v>1.056383806148431</v>
      </c>
      <c r="L27" s="3">
        <f t="shared" si="5"/>
        <v>0.8623541274681068</v>
      </c>
    </row>
    <row r="28" spans="5:12">
      <c r="E28" s="2">
        <v>31</v>
      </c>
      <c r="F28" s="2">
        <f t="shared" si="0"/>
        <v>304.14999999999998</v>
      </c>
      <c r="G28" s="2">
        <f t="shared" si="1"/>
        <v>1.1607789038945575</v>
      </c>
      <c r="H28" s="2">
        <f t="shared" si="2"/>
        <v>0.94757461542412846</v>
      </c>
      <c r="I28" s="3">
        <v>1300</v>
      </c>
      <c r="J28" s="3">
        <f t="shared" si="3"/>
        <v>86844.789186539332</v>
      </c>
      <c r="K28" s="3">
        <f t="shared" si="4"/>
        <v>1.0501367481924802</v>
      </c>
      <c r="L28" s="3">
        <f t="shared" si="5"/>
        <v>0.85725448832039186</v>
      </c>
    </row>
    <row r="29" spans="5:12">
      <c r="E29" s="2">
        <v>33</v>
      </c>
      <c r="F29" s="2">
        <f t="shared" si="0"/>
        <v>306.14999999999998</v>
      </c>
      <c r="G29" s="2">
        <f t="shared" si="1"/>
        <v>1.1531958308656858</v>
      </c>
      <c r="H29" s="2">
        <f t="shared" si="2"/>
        <v>0.94138435172709034</v>
      </c>
      <c r="I29" s="3">
        <v>1350</v>
      </c>
      <c r="J29" s="3">
        <f t="shared" si="3"/>
        <v>86331.221647863495</v>
      </c>
      <c r="K29" s="3">
        <f t="shared" si="4"/>
        <v>1.0439266329962325</v>
      </c>
      <c r="L29" s="3">
        <f t="shared" si="5"/>
        <v>0.85218500652753659</v>
      </c>
    </row>
    <row r="30" spans="5:12">
      <c r="E30" s="2">
        <v>35</v>
      </c>
      <c r="F30" s="2">
        <f t="shared" si="0"/>
        <v>308.14999999999998</v>
      </c>
      <c r="G30" s="2">
        <f t="shared" si="1"/>
        <v>1.1457111913663141</v>
      </c>
      <c r="H30" s="2">
        <f t="shared" si="2"/>
        <v>0.93527444193168485</v>
      </c>
      <c r="I30" s="3">
        <v>1400</v>
      </c>
      <c r="J30" s="3">
        <f t="shared" si="3"/>
        <v>85820.691155154986</v>
      </c>
      <c r="K30" s="3">
        <f t="shared" si="4"/>
        <v>1.0377532420940512</v>
      </c>
      <c r="L30" s="3">
        <f t="shared" si="5"/>
        <v>0.84714550375024578</v>
      </c>
    </row>
    <row r="31" spans="5:12">
      <c r="E31" s="2">
        <v>37</v>
      </c>
      <c r="F31" s="2">
        <f t="shared" si="0"/>
        <v>310.14999999999998</v>
      </c>
      <c r="G31" s="2">
        <f t="shared" si="1"/>
        <v>1.1383230811527638</v>
      </c>
      <c r="H31" s="2">
        <f t="shared" si="2"/>
        <v>0.92924333155327654</v>
      </c>
      <c r="I31" s="3">
        <v>1450</v>
      </c>
      <c r="J31" s="3">
        <f t="shared" si="3"/>
        <v>85313.179748462062</v>
      </c>
      <c r="K31" s="3">
        <f t="shared" si="4"/>
        <v>1.031616358312224</v>
      </c>
      <c r="L31" s="3">
        <f t="shared" si="5"/>
        <v>0.84213580270385624</v>
      </c>
    </row>
    <row r="32" spans="5:12">
      <c r="E32" s="2">
        <v>39</v>
      </c>
      <c r="F32" s="2">
        <f t="shared" si="0"/>
        <v>312.14999999999998</v>
      </c>
      <c r="G32" s="2">
        <f t="shared" si="1"/>
        <v>1.1310296447846537</v>
      </c>
      <c r="H32" s="2">
        <f t="shared" si="2"/>
        <v>0.92328950594665604</v>
      </c>
      <c r="I32" s="3">
        <v>1500</v>
      </c>
      <c r="J32" s="3">
        <f t="shared" si="3"/>
        <v>84808.6695740414</v>
      </c>
      <c r="K32" s="3">
        <f t="shared" si="4"/>
        <v>1.025515765761321</v>
      </c>
      <c r="L32" s="3">
        <f t="shared" si="5"/>
        <v>0.83715572715209874</v>
      </c>
    </row>
    <row r="33" spans="5:12">
      <c r="E33" s="2">
        <v>41</v>
      </c>
      <c r="F33" s="2">
        <f t="shared" si="0"/>
        <v>314.14999999999998</v>
      </c>
      <c r="G33" s="2">
        <f t="shared" si="1"/>
        <v>1.1238290740713981</v>
      </c>
      <c r="H33" s="2">
        <f t="shared" si="2"/>
        <v>0.91741148903787595</v>
      </c>
      <c r="I33" s="3">
        <v>1550</v>
      </c>
      <c r="J33" s="3">
        <f t="shared" si="3"/>
        <v>84307.142883730048</v>
      </c>
      <c r="K33" s="3">
        <f t="shared" si="4"/>
        <v>1.0194512498286032</v>
      </c>
      <c r="L33" s="3">
        <f t="shared" si="5"/>
        <v>0.83220510190090058</v>
      </c>
    </row>
    <row r="34" spans="5:12">
      <c r="E34" s="2">
        <v>43</v>
      </c>
      <c r="F34" s="2">
        <f t="shared" si="0"/>
        <v>316.14999999999998</v>
      </c>
      <c r="G34" s="2">
        <f t="shared" si="1"/>
        <v>1.1167196065776679</v>
      </c>
      <c r="H34" s="2">
        <f t="shared" si="2"/>
        <v>0.91160784210421864</v>
      </c>
      <c r="I34" s="3">
        <v>1600</v>
      </c>
      <c r="J34" s="3">
        <f t="shared" si="3"/>
        <v>83808.582034321022</v>
      </c>
      <c r="K34" s="3">
        <f t="shared" si="4"/>
        <v>1.0134225971704698</v>
      </c>
      <c r="L34" s="3">
        <f t="shared" si="5"/>
        <v>0.82728375279222022</v>
      </c>
    </row>
    <row r="35" spans="5:12">
      <c r="E35" s="2">
        <v>45</v>
      </c>
      <c r="F35" s="2">
        <f t="shared" si="0"/>
        <v>318.14999999999998</v>
      </c>
      <c r="G35" s="2">
        <f t="shared" si="1"/>
        <v>1.1096995241852261</v>
      </c>
      <c r="H35" s="2">
        <f t="shared" si="2"/>
        <v>0.90587716260018447</v>
      </c>
      <c r="I35" s="3">
        <v>1650</v>
      </c>
      <c r="J35" s="3">
        <f t="shared" si="3"/>
        <v>83312.96948694266</v>
      </c>
      <c r="K35" s="3">
        <f t="shared" si="4"/>
        <v>1.0074295957049542</v>
      </c>
      <c r="L35" s="3">
        <f t="shared" si="5"/>
        <v>0.82239150669792171</v>
      </c>
    </row>
    <row r="36" spans="5:12">
      <c r="I36" s="3">
        <v>1700</v>
      </c>
      <c r="J36" s="3">
        <f t="shared" si="3"/>
        <v>82820.287806441615</v>
      </c>
      <c r="K36" s="3">
        <f t="shared" si="4"/>
        <v>1.001472034604264</v>
      </c>
      <c r="L36" s="3">
        <f t="shared" si="5"/>
        <v>0.81752819151368483</v>
      </c>
    </row>
    <row r="37" spans="5:12">
      <c r="I37" s="3">
        <v>1750</v>
      </c>
      <c r="J37" s="3">
        <f t="shared" si="3"/>
        <v>82330.519660769482</v>
      </c>
      <c r="K37" s="3">
        <f t="shared" si="4"/>
        <v>0.99554970428736211</v>
      </c>
      <c r="L37" s="3">
        <f t="shared" si="5"/>
        <v>0.81269363615294865</v>
      </c>
    </row>
    <row r="38" spans="5:12">
      <c r="I38" s="3">
        <v>1800</v>
      </c>
      <c r="J38" s="3">
        <f t="shared" si="3"/>
        <v>81843.647820373139</v>
      </c>
      <c r="K38" s="3">
        <f t="shared" si="4"/>
        <v>0.98966239641259601</v>
      </c>
      <c r="L38" s="3">
        <f t="shared" si="5"/>
        <v>0.80788767054089461</v>
      </c>
    </row>
    <row r="39" spans="5:12">
      <c r="I39" s="3">
        <v>1850</v>
      </c>
      <c r="J39" s="3">
        <f t="shared" si="3"/>
        <v>81359.655157588524</v>
      </c>
      <c r="K39" s="3">
        <f t="shared" si="4"/>
        <v>0.98380990387036715</v>
      </c>
      <c r="L39" s="3">
        <f t="shared" si="5"/>
        <v>0.80311012560846295</v>
      </c>
    </row>
    <row r="40" spans="5:12">
      <c r="I40" s="3">
        <v>1900</v>
      </c>
      <c r="J40" s="3">
        <f t="shared" si="3"/>
        <v>80878.524646038233</v>
      </c>
      <c r="K40" s="3">
        <f t="shared" si="4"/>
        <v>0.97799202077584624</v>
      </c>
      <c r="L40" s="3">
        <f t="shared" si="5"/>
        <v>0.79836083328640506</v>
      </c>
    </row>
    <row r="41" spans="5:12">
      <c r="I41" s="3">
        <v>1950</v>
      </c>
      <c r="J41" s="3">
        <f t="shared" si="3"/>
        <v>80400.239360032429</v>
      </c>
      <c r="K41" s="3">
        <f t="shared" si="4"/>
        <v>0.97220854246172883</v>
      </c>
      <c r="L41" s="3">
        <f t="shared" si="5"/>
        <v>0.79363962649937037</v>
      </c>
    </row>
    <row r="42" spans="5:12">
      <c r="I42" s="3">
        <v>2000</v>
      </c>
      <c r="J42" s="3">
        <f t="shared" si="3"/>
        <v>79924.782473973464</v>
      </c>
      <c r="K42" s="3">
        <f t="shared" si="4"/>
        <v>0.96645926547103667</v>
      </c>
      <c r="L42" s="3">
        <f t="shared" si="5"/>
        <v>0.78894633916002987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4"/>
  <sheetViews>
    <sheetView tabSelected="1" workbookViewId="0">
      <selection activeCell="G26" sqref="G26"/>
    </sheetView>
  </sheetViews>
  <sheetFormatPr defaultRowHeight="15"/>
  <cols>
    <col min="1" max="1" width="19.140625" bestFit="1" customWidth="1"/>
    <col min="2" max="2" width="20.7109375" bestFit="1" customWidth="1"/>
  </cols>
  <sheetData>
    <row r="1" spans="1:3">
      <c r="A1" s="1" t="s">
        <v>20</v>
      </c>
      <c r="B1" s="1" t="s">
        <v>21</v>
      </c>
      <c r="C1" s="1" t="s">
        <v>34</v>
      </c>
    </row>
    <row r="2" spans="1:3">
      <c r="A2" s="2">
        <v>25</v>
      </c>
      <c r="B2" s="2">
        <v>90</v>
      </c>
      <c r="C2" s="2">
        <f>A2^3*B2</f>
        <v>1406250</v>
      </c>
    </row>
    <row r="3" spans="1:3">
      <c r="A3" s="2">
        <v>20</v>
      </c>
      <c r="B3" s="2">
        <v>600</v>
      </c>
      <c r="C3" s="2">
        <f t="shared" ref="C3:C7" si="0">A3^3*B3</f>
        <v>4800000</v>
      </c>
    </row>
    <row r="4" spans="1:3">
      <c r="A4" s="2">
        <v>15</v>
      </c>
      <c r="B4" s="2">
        <v>1600</v>
      </c>
      <c r="C4" s="2">
        <f t="shared" si="0"/>
        <v>5400000</v>
      </c>
    </row>
    <row r="5" spans="1:3">
      <c r="A5" s="2">
        <v>10</v>
      </c>
      <c r="B5" s="2">
        <v>2200</v>
      </c>
      <c r="C5" s="2">
        <f t="shared" si="0"/>
        <v>2200000</v>
      </c>
    </row>
    <row r="6" spans="1:3">
      <c r="A6" s="2">
        <v>5</v>
      </c>
      <c r="B6" s="2">
        <v>2700</v>
      </c>
      <c r="C6" s="2">
        <f t="shared" si="0"/>
        <v>337500</v>
      </c>
    </row>
    <row r="7" spans="1:3">
      <c r="A7" s="2">
        <v>0</v>
      </c>
      <c r="B7" s="2">
        <f>8760-SUM(B2:B6)</f>
        <v>1570</v>
      </c>
      <c r="C7" s="2">
        <f t="shared" si="0"/>
        <v>0</v>
      </c>
    </row>
    <row r="9" spans="1:3">
      <c r="A9" s="1" t="s">
        <v>22</v>
      </c>
      <c r="B9" s="2">
        <f>1/7</f>
        <v>0.14285714285714285</v>
      </c>
    </row>
    <row r="10" spans="1:3">
      <c r="A10" s="1" t="s">
        <v>23</v>
      </c>
      <c r="B10" s="6">
        <v>0.4</v>
      </c>
    </row>
    <row r="11" spans="1:3">
      <c r="A11" s="1" t="s">
        <v>24</v>
      </c>
      <c r="B11" s="2">
        <v>300</v>
      </c>
    </row>
    <row r="12" spans="1:3">
      <c r="A12" s="1" t="s">
        <v>25</v>
      </c>
      <c r="B12" s="2">
        <v>100</v>
      </c>
    </row>
    <row r="13" spans="1:3">
      <c r="A13" s="1" t="s">
        <v>26</v>
      </c>
      <c r="B13" s="2">
        <v>10</v>
      </c>
    </row>
    <row r="14" spans="1:3">
      <c r="A14" s="1" t="s">
        <v>27</v>
      </c>
      <c r="B14" s="2">
        <v>17.858216575598114</v>
      </c>
    </row>
    <row r="15" spans="1:3">
      <c r="A15" s="1" t="s">
        <v>29</v>
      </c>
      <c r="B15" s="2">
        <f>B11*B14</f>
        <v>5357.4649726794341</v>
      </c>
    </row>
    <row r="16" spans="1:3">
      <c r="A16" s="1" t="s">
        <v>30</v>
      </c>
      <c r="B16" s="2">
        <f>B12*B14</f>
        <v>1785.8216575598115</v>
      </c>
    </row>
    <row r="17" spans="1:2">
      <c r="A17" s="1" t="s">
        <v>28</v>
      </c>
      <c r="B17" s="2">
        <v>22.500000003760263</v>
      </c>
    </row>
    <row r="18" spans="1:2">
      <c r="A18" s="1" t="s">
        <v>31</v>
      </c>
      <c r="B18" s="2">
        <f>0.1*B17*B16</f>
        <v>4018.0987301810919</v>
      </c>
    </row>
    <row r="19" spans="1:2">
      <c r="A19" s="1" t="s">
        <v>32</v>
      </c>
      <c r="B19" s="2">
        <f>(SUM(C2:C7)/8760)^(1/3)</f>
        <v>11.731498471974691</v>
      </c>
    </row>
    <row r="20" spans="1:2">
      <c r="A20" s="1" t="s">
        <v>33</v>
      </c>
      <c r="B20" s="2">
        <f>B19*(B17/10)^(B9)</f>
        <v>13.172411114187938</v>
      </c>
    </row>
    <row r="21" spans="1:2">
      <c r="A21" s="1" t="s">
        <v>38</v>
      </c>
      <c r="B21" s="2">
        <f>0.5*1.225*B14*B20^3*B10</f>
        <v>10000.000000000002</v>
      </c>
    </row>
    <row r="22" spans="1:2">
      <c r="A22" s="1" t="s">
        <v>35</v>
      </c>
      <c r="B22" s="2">
        <f>B15+B18</f>
        <v>9375.563702860527</v>
      </c>
    </row>
    <row r="23" spans="1:2">
      <c r="A23" s="1" t="s">
        <v>36</v>
      </c>
      <c r="B23" s="2">
        <f>B22/B21</f>
        <v>0.93755637028605254</v>
      </c>
    </row>
    <row r="24" spans="1:2">
      <c r="A24" s="1" t="s">
        <v>37</v>
      </c>
      <c r="B24" s="2">
        <f>B21*(25/B19)^3</f>
        <v>96774.193548387164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Zadatak1</vt:lpstr>
      <vt:lpstr>Zadatak2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2020-07-08T12:08:36Z</dcterms:created>
  <dcterms:modified xsi:type="dcterms:W3CDTF">2020-07-08T12:49:50Z</dcterms:modified>
</cp:coreProperties>
</file>