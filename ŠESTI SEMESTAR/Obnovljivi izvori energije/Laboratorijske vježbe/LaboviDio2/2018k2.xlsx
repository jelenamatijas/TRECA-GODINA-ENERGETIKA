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35" windowWidth="23955" windowHeight="978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K15" i="1"/>
  <c r="L14"/>
  <c r="L16" s="1"/>
  <c r="L13"/>
  <c r="K13"/>
  <c r="K14" s="1"/>
  <c r="K16" s="1"/>
  <c r="L10"/>
  <c r="L15" s="1"/>
  <c r="K10"/>
  <c r="K8"/>
  <c r="L7"/>
  <c r="L8" s="1"/>
  <c r="K7"/>
  <c r="F7"/>
  <c r="F10"/>
  <c r="H10" s="1"/>
  <c r="F11"/>
  <c r="H11" s="1"/>
  <c r="F14"/>
  <c r="H14" s="1"/>
  <c r="F15"/>
  <c r="F18"/>
  <c r="H18" s="1"/>
  <c r="F19"/>
  <c r="H19" s="1"/>
  <c r="F22"/>
  <c r="H22" s="1"/>
  <c r="F23"/>
  <c r="F26"/>
  <c r="H26" s="1"/>
  <c r="F27"/>
  <c r="H27" s="1"/>
  <c r="F30"/>
  <c r="H30" s="1"/>
  <c r="F31"/>
  <c r="L4"/>
  <c r="F8" s="1"/>
  <c r="H8" s="1"/>
  <c r="K4"/>
  <c r="E9" s="1"/>
  <c r="G9" s="1"/>
  <c r="H15"/>
  <c r="H23"/>
  <c r="H31"/>
  <c r="H7"/>
  <c r="E27" l="1"/>
  <c r="G27" s="1"/>
  <c r="E19"/>
  <c r="G19" s="1"/>
  <c r="E11"/>
  <c r="G11" s="1"/>
  <c r="E32"/>
  <c r="G32" s="1"/>
  <c r="E24"/>
  <c r="G24" s="1"/>
  <c r="E16"/>
  <c r="G16" s="1"/>
  <c r="E12"/>
  <c r="G12" s="1"/>
  <c r="E8"/>
  <c r="G8" s="1"/>
  <c r="E30"/>
  <c r="G30" s="1"/>
  <c r="E26"/>
  <c r="G26" s="1"/>
  <c r="E22"/>
  <c r="G22" s="1"/>
  <c r="E18"/>
  <c r="G18" s="1"/>
  <c r="E14"/>
  <c r="G14" s="1"/>
  <c r="E10"/>
  <c r="G10" s="1"/>
  <c r="F6"/>
  <c r="H6" s="1"/>
  <c r="F29"/>
  <c r="H29" s="1"/>
  <c r="F25"/>
  <c r="H25" s="1"/>
  <c r="F21"/>
  <c r="H21" s="1"/>
  <c r="F17"/>
  <c r="H17" s="1"/>
  <c r="F13"/>
  <c r="H13" s="1"/>
  <c r="F9"/>
  <c r="H9" s="1"/>
  <c r="E31"/>
  <c r="G31" s="1"/>
  <c r="E23"/>
  <c r="G23" s="1"/>
  <c r="E15"/>
  <c r="G15" s="1"/>
  <c r="E7"/>
  <c r="G7" s="1"/>
  <c r="E28"/>
  <c r="G28" s="1"/>
  <c r="E20"/>
  <c r="G20" s="1"/>
  <c r="E6"/>
  <c r="G6" s="1"/>
  <c r="E29"/>
  <c r="G29" s="1"/>
  <c r="E25"/>
  <c r="G25" s="1"/>
  <c r="E21"/>
  <c r="G21" s="1"/>
  <c r="E17"/>
  <c r="G17" s="1"/>
  <c r="E13"/>
  <c r="G13" s="1"/>
  <c r="F32"/>
  <c r="H32" s="1"/>
  <c r="F28"/>
  <c r="H28" s="1"/>
  <c r="F24"/>
  <c r="H24" s="1"/>
  <c r="F20"/>
  <c r="H20" s="1"/>
  <c r="F16"/>
  <c r="H16" s="1"/>
  <c r="F12"/>
  <c r="H12" s="1"/>
  <c r="L5" l="1"/>
  <c r="L17" s="1"/>
  <c r="K5"/>
  <c r="K17" s="1"/>
</calcChain>
</file>

<file path=xl/sharedStrings.xml><?xml version="1.0" encoding="utf-8"?>
<sst xmlns="http://schemas.openxmlformats.org/spreadsheetml/2006/main" count="29" uniqueCount="27">
  <si>
    <t>Proizvodjac</t>
  </si>
  <si>
    <t>Nominalna snaga[kW]</t>
  </si>
  <si>
    <t>Precnik lopatica[m]</t>
  </si>
  <si>
    <t>Brzina vjetra</t>
  </si>
  <si>
    <t>v[m/s]</t>
  </si>
  <si>
    <t>NEG Micon</t>
  </si>
  <si>
    <t>Nordex</t>
  </si>
  <si>
    <t>vsr[m/s]</t>
  </si>
  <si>
    <t>c</t>
  </si>
  <si>
    <t>Wg[kWh]</t>
  </si>
  <si>
    <t>CF</t>
  </si>
  <si>
    <t>D[m]</t>
  </si>
  <si>
    <t>Wg'[kWh]</t>
  </si>
  <si>
    <t>f(v) NEG</t>
  </si>
  <si>
    <t>f(v) Nordex</t>
  </si>
  <si>
    <t>P2*t2[kWh]</t>
  </si>
  <si>
    <t>P1*t1[kWh]</t>
  </si>
  <si>
    <t>LCOE[KM/kWh]</t>
  </si>
  <si>
    <t>Troskovi odrzavanja[KM/kW]</t>
  </si>
  <si>
    <t>Rashodi[KM]</t>
  </si>
  <si>
    <t>k</t>
  </si>
  <si>
    <t>Investicioni troskovi [KM/kW]</t>
  </si>
  <si>
    <t>Kamatna stopa</t>
  </si>
  <si>
    <t>Rok otplate kredita[god]</t>
  </si>
  <si>
    <t>Inveticija</t>
  </si>
  <si>
    <t>Rata kredita[KM]</t>
  </si>
  <si>
    <t>Troskovi odrzavanja[KM]</t>
  </si>
</sst>
</file>

<file path=xl/styles.xml><?xml version="1.0" encoding="utf-8"?>
<styleSheet xmlns="http://schemas.openxmlformats.org/spreadsheetml/2006/main">
  <numFmts count="2">
    <numFmt numFmtId="8" formatCode="#,##0.00\ &quot;KM&quot;;[Red]\-#,##0.00\ &quot;KM&quot;"/>
    <numFmt numFmtId="164" formatCode="#,##0.0000\ &quot;KM&quot;;[Red]\-#,##0.0000\ &quot;KM&quot;"/>
  </numFmts>
  <fonts count="2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164" fontId="0" fillId="2" borderId="0" xfId="0" applyNumberFormat="1" applyFill="1"/>
    <xf numFmtId="0" fontId="1" fillId="3" borderId="0" xfId="0" applyFont="1" applyFill="1"/>
    <xf numFmtId="0" fontId="0" fillId="4" borderId="0" xfId="0" applyFill="1"/>
    <xf numFmtId="10" fontId="0" fillId="4" borderId="0" xfId="0" applyNumberFormat="1" applyFill="1"/>
    <xf numFmtId="8" fontId="0" fillId="4" borderId="0" xfId="0" applyNumberFormat="1" applyFill="1"/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"/>
  <sheetViews>
    <sheetView tabSelected="1" workbookViewId="0">
      <selection activeCell="H7" sqref="H7"/>
    </sheetView>
  </sheetViews>
  <sheetFormatPr defaultRowHeight="15"/>
  <cols>
    <col min="1" max="1" width="10.5703125" bestFit="1" customWidth="1"/>
    <col min="2" max="2" width="11.5703125" customWidth="1"/>
    <col min="3" max="3" width="10.85546875" bestFit="1" customWidth="1"/>
    <col min="4" max="4" width="7.5703125" bestFit="1" customWidth="1"/>
    <col min="5" max="8" width="12" bestFit="1" customWidth="1"/>
    <col min="9" max="9" width="27.28515625" bestFit="1" customWidth="1"/>
    <col min="10" max="10" width="28.140625" bestFit="1" customWidth="1"/>
    <col min="11" max="14" width="13.5703125" bestFit="1" customWidth="1"/>
    <col min="15" max="15" width="15" bestFit="1" customWidth="1"/>
  </cols>
  <sheetData>
    <row r="1" spans="1:12">
      <c r="A1" s="7" t="s">
        <v>0</v>
      </c>
      <c r="B1" s="7"/>
      <c r="C1" s="3" t="s">
        <v>5</v>
      </c>
      <c r="D1" s="3" t="s">
        <v>6</v>
      </c>
      <c r="E1" s="3"/>
      <c r="F1" s="3"/>
      <c r="G1" s="3"/>
      <c r="H1" s="3"/>
      <c r="K1" s="3" t="s">
        <v>5</v>
      </c>
      <c r="L1" s="3" t="s">
        <v>6</v>
      </c>
    </row>
    <row r="2" spans="1:12">
      <c r="A2" s="7" t="s">
        <v>1</v>
      </c>
      <c r="B2" s="7"/>
      <c r="C2" s="3">
        <v>1000</v>
      </c>
      <c r="D2" s="3">
        <v>1300</v>
      </c>
      <c r="E2" s="3"/>
      <c r="F2" s="3"/>
      <c r="G2" s="3"/>
      <c r="H2" s="3"/>
      <c r="J2" s="3" t="s">
        <v>7</v>
      </c>
      <c r="K2" s="4">
        <v>6</v>
      </c>
      <c r="L2" s="4">
        <v>8</v>
      </c>
    </row>
    <row r="3" spans="1:12">
      <c r="A3" s="7" t="s">
        <v>2</v>
      </c>
      <c r="B3" s="7"/>
      <c r="C3" s="3">
        <v>54</v>
      </c>
      <c r="D3" s="3">
        <v>60</v>
      </c>
      <c r="E3" s="3"/>
      <c r="F3" s="3"/>
      <c r="G3" s="3"/>
      <c r="H3" s="3"/>
      <c r="J3" s="3" t="s">
        <v>20</v>
      </c>
      <c r="K3" s="4">
        <v>2</v>
      </c>
      <c r="L3" s="4">
        <v>2</v>
      </c>
    </row>
    <row r="4" spans="1:12">
      <c r="A4" s="7" t="s">
        <v>3</v>
      </c>
      <c r="B4" s="7"/>
      <c r="C4" s="3"/>
      <c r="D4" s="3"/>
      <c r="E4" s="3"/>
      <c r="F4" s="3"/>
      <c r="G4" s="3"/>
      <c r="H4" s="3"/>
      <c r="J4" s="3" t="s">
        <v>8</v>
      </c>
      <c r="K4" s="4">
        <f>2*K2/SQRT(3.14159)</f>
        <v>6.7702778618782125</v>
      </c>
      <c r="L4" s="4">
        <f>2*L2/SQRT(3.14159)</f>
        <v>9.0270371491709493</v>
      </c>
    </row>
    <row r="5" spans="1:12">
      <c r="A5" s="8" t="s">
        <v>4</v>
      </c>
      <c r="B5" s="8"/>
      <c r="C5" s="3"/>
      <c r="D5" s="3"/>
      <c r="E5" s="3" t="s">
        <v>13</v>
      </c>
      <c r="F5" s="3" t="s">
        <v>14</v>
      </c>
      <c r="G5" s="3" t="s">
        <v>16</v>
      </c>
      <c r="H5" s="3" t="s">
        <v>15</v>
      </c>
      <c r="J5" s="3" t="s">
        <v>9</v>
      </c>
      <c r="K5" s="1">
        <f>SUM(G6:G32)</f>
        <v>1665633.5188094066</v>
      </c>
      <c r="L5" s="1">
        <f>SUM(H6:H32)</f>
        <v>4126858.4933334137</v>
      </c>
    </row>
    <row r="6" spans="1:12">
      <c r="A6" s="4">
        <v>0</v>
      </c>
      <c r="B6" s="4"/>
      <c r="C6" s="4">
        <v>0</v>
      </c>
      <c r="D6" s="4">
        <v>0</v>
      </c>
      <c r="E6" s="4">
        <f>WEIBULL(A6,$K$3,$K$4,FALSE)</f>
        <v>0</v>
      </c>
      <c r="F6" s="4">
        <f>WEIBULL(A6,$L$3,$L$4,FALSE)</f>
        <v>0</v>
      </c>
      <c r="G6" s="4">
        <f>C6*E6*8760</f>
        <v>0</v>
      </c>
      <c r="H6" s="4">
        <f>D6*F6*8760</f>
        <v>0</v>
      </c>
      <c r="J6" s="3" t="s">
        <v>11</v>
      </c>
      <c r="K6" s="4">
        <v>54</v>
      </c>
      <c r="L6" s="4">
        <v>60</v>
      </c>
    </row>
    <row r="7" spans="1:12">
      <c r="A7" s="4">
        <v>1</v>
      </c>
      <c r="B7" s="4"/>
      <c r="C7" s="4">
        <v>0</v>
      </c>
      <c r="D7" s="4">
        <v>0</v>
      </c>
      <c r="E7" s="4">
        <f t="shared" ref="E7:E32" si="0">WEIBULL(A7,$K$3,$K$4,FALSE)</f>
        <v>4.2691575424933743E-2</v>
      </c>
      <c r="F7" s="4">
        <f t="shared" ref="F7:F32" si="1">WEIBULL(A7,$L$3,$L$4,FALSE)</f>
        <v>2.4244316537092189E-2</v>
      </c>
      <c r="G7" s="4">
        <f t="shared" ref="G7:G32" si="2">C7*E7*8760</f>
        <v>0</v>
      </c>
      <c r="H7" s="4">
        <f t="shared" ref="H7:H32" si="3">D7*F7*8760</f>
        <v>0</v>
      </c>
      <c r="J7" s="3" t="s">
        <v>10</v>
      </c>
      <c r="K7" s="4">
        <f>0.087*K2-C2/C3^2</f>
        <v>0.1790644718792867</v>
      </c>
      <c r="L7" s="4">
        <f>0.087*L2-D2/D3^2</f>
        <v>0.33488888888888885</v>
      </c>
    </row>
    <row r="8" spans="1:12">
      <c r="A8" s="4">
        <v>2</v>
      </c>
      <c r="B8" s="4"/>
      <c r="C8" s="4">
        <v>0</v>
      </c>
      <c r="D8" s="4">
        <v>0</v>
      </c>
      <c r="E8" s="4">
        <f t="shared" si="0"/>
        <v>7.9973792945373184E-2</v>
      </c>
      <c r="F8" s="4">
        <f t="shared" si="1"/>
        <v>4.6735960153476315E-2</v>
      </c>
      <c r="G8" s="4">
        <f t="shared" si="2"/>
        <v>0</v>
      </c>
      <c r="H8" s="4">
        <f t="shared" si="3"/>
        <v>0</v>
      </c>
      <c r="J8" s="3" t="s">
        <v>12</v>
      </c>
      <c r="K8" s="1">
        <f>K7*C2*8760</f>
        <v>1568604.7736625515</v>
      </c>
      <c r="L8" s="1">
        <f>L7*D2*8760</f>
        <v>3813714.666666666</v>
      </c>
    </row>
    <row r="9" spans="1:12">
      <c r="A9" s="4">
        <v>3</v>
      </c>
      <c r="B9" s="4"/>
      <c r="C9" s="4">
        <v>0</v>
      </c>
      <c r="D9" s="4">
        <v>0</v>
      </c>
      <c r="E9" s="4">
        <f t="shared" si="0"/>
        <v>0.10756347246056716</v>
      </c>
      <c r="F9" s="4">
        <f t="shared" si="1"/>
        <v>6.5931730576632194E-2</v>
      </c>
      <c r="G9" s="4">
        <f t="shared" si="2"/>
        <v>0</v>
      </c>
      <c r="H9" s="4">
        <f t="shared" si="3"/>
        <v>0</v>
      </c>
      <c r="J9" s="3" t="s">
        <v>21</v>
      </c>
      <c r="K9" s="4">
        <v>3500</v>
      </c>
      <c r="L9" s="4">
        <v>3500</v>
      </c>
    </row>
    <row r="10" spans="1:12">
      <c r="A10" s="4">
        <v>4</v>
      </c>
      <c r="B10" s="4"/>
      <c r="C10" s="4">
        <v>10</v>
      </c>
      <c r="D10" s="4">
        <v>25</v>
      </c>
      <c r="E10" s="4">
        <f t="shared" si="0"/>
        <v>0.12310615189466521</v>
      </c>
      <c r="F10" s="4">
        <f t="shared" si="1"/>
        <v>8.0672604345425392E-2</v>
      </c>
      <c r="G10" s="4">
        <f t="shared" si="2"/>
        <v>10784.098905972673</v>
      </c>
      <c r="H10" s="4">
        <f t="shared" si="3"/>
        <v>17667.300351648162</v>
      </c>
      <c r="J10" s="3" t="s">
        <v>18</v>
      </c>
      <c r="K10" s="4">
        <f>0.01*K9</f>
        <v>35</v>
      </c>
      <c r="L10" s="4">
        <f>0.01*L9</f>
        <v>35</v>
      </c>
    </row>
    <row r="11" spans="1:12">
      <c r="A11" s="4">
        <v>5</v>
      </c>
      <c r="B11" s="4"/>
      <c r="C11" s="4">
        <v>51</v>
      </c>
      <c r="D11" s="4">
        <v>78</v>
      </c>
      <c r="E11" s="4">
        <f t="shared" si="0"/>
        <v>0.1264492678457235</v>
      </c>
      <c r="F11" s="4">
        <f t="shared" si="1"/>
        <v>9.0296262544216244E-2</v>
      </c>
      <c r="G11" s="4">
        <f t="shared" si="2"/>
        <v>56492.474902755428</v>
      </c>
      <c r="H11" s="4">
        <f t="shared" si="3"/>
        <v>61697.630271212081</v>
      </c>
      <c r="J11" s="3" t="s">
        <v>22</v>
      </c>
      <c r="K11" s="5">
        <v>6.8000000000000005E-2</v>
      </c>
      <c r="L11" s="5">
        <v>6.8000000000000005E-2</v>
      </c>
    </row>
    <row r="12" spans="1:12">
      <c r="A12" s="4">
        <v>6</v>
      </c>
      <c r="B12" s="4"/>
      <c r="C12" s="4">
        <v>104</v>
      </c>
      <c r="D12" s="4">
        <v>150</v>
      </c>
      <c r="E12" s="4">
        <f t="shared" si="0"/>
        <v>0.1193643010866445</v>
      </c>
      <c r="F12" s="4">
        <f t="shared" si="1"/>
        <v>9.4672865854324328E-2</v>
      </c>
      <c r="G12" s="4">
        <f t="shared" si="2"/>
        <v>108745.6528619766</v>
      </c>
      <c r="H12" s="4">
        <f t="shared" si="3"/>
        <v>124400.14573258217</v>
      </c>
      <c r="J12" s="3" t="s">
        <v>23</v>
      </c>
      <c r="K12" s="4">
        <v>25</v>
      </c>
      <c r="L12" s="4">
        <v>25</v>
      </c>
    </row>
    <row r="13" spans="1:12">
      <c r="A13" s="4">
        <v>7</v>
      </c>
      <c r="B13" s="4"/>
      <c r="C13" s="4">
        <v>186</v>
      </c>
      <c r="D13" s="4">
        <v>234</v>
      </c>
      <c r="E13" s="4">
        <f t="shared" si="0"/>
        <v>0.10486932867384138</v>
      </c>
      <c r="F13" s="4">
        <f t="shared" si="1"/>
        <v>9.4164593369928898E-2</v>
      </c>
      <c r="G13" s="4">
        <f t="shared" si="2"/>
        <v>170869.88936801022</v>
      </c>
      <c r="H13" s="4">
        <f t="shared" si="3"/>
        <v>193022.35007341506</v>
      </c>
      <c r="J13" s="3" t="s">
        <v>24</v>
      </c>
      <c r="K13" s="4">
        <f>K9*C2</f>
        <v>3500000</v>
      </c>
      <c r="L13" s="4">
        <f>L9*D2</f>
        <v>4550000</v>
      </c>
    </row>
    <row r="14" spans="1:12">
      <c r="A14" s="4">
        <v>8</v>
      </c>
      <c r="B14" s="4"/>
      <c r="C14" s="4">
        <v>291</v>
      </c>
      <c r="D14" s="4">
        <v>381</v>
      </c>
      <c r="E14" s="4">
        <f t="shared" si="0"/>
        <v>8.6400850594808787E-2</v>
      </c>
      <c r="F14" s="4">
        <f t="shared" si="1"/>
        <v>8.9523225814983398E-2</v>
      </c>
      <c r="G14" s="4">
        <f t="shared" si="2"/>
        <v>220249.59230226278</v>
      </c>
      <c r="H14" s="4">
        <f t="shared" si="3"/>
        <v>298789.13755105599</v>
      </c>
      <c r="J14" s="3" t="s">
        <v>25</v>
      </c>
      <c r="K14" s="6">
        <f>-PMT(K11,K12,K13)</f>
        <v>294945.67007346172</v>
      </c>
      <c r="L14" s="6">
        <f>-PMT(L11,L12,L13)</f>
        <v>383429.37109550025</v>
      </c>
    </row>
    <row r="15" spans="1:12">
      <c r="A15" s="4">
        <v>9</v>
      </c>
      <c r="B15" s="4"/>
      <c r="C15" s="4">
        <v>412</v>
      </c>
      <c r="D15" s="4">
        <v>557</v>
      </c>
      <c r="E15" s="4">
        <f t="shared" si="0"/>
        <v>6.7080836260210816E-2</v>
      </c>
      <c r="F15" s="4">
        <f t="shared" si="1"/>
        <v>8.1749518728461923E-2</v>
      </c>
      <c r="G15" s="4">
        <f t="shared" si="2"/>
        <v>242102.78776345204</v>
      </c>
      <c r="H15" s="4">
        <f t="shared" si="3"/>
        <v>398882.0617221588</v>
      </c>
      <c r="J15" s="3" t="s">
        <v>26</v>
      </c>
      <c r="K15" s="4">
        <f>K10*C2</f>
        <v>35000</v>
      </c>
      <c r="L15" s="4">
        <f>L10*D2</f>
        <v>45500</v>
      </c>
    </row>
    <row r="16" spans="1:12">
      <c r="A16" s="4">
        <v>10</v>
      </c>
      <c r="B16" s="4"/>
      <c r="C16" s="4">
        <v>529</v>
      </c>
      <c r="D16" s="4">
        <v>752</v>
      </c>
      <c r="E16" s="4">
        <f t="shared" si="0"/>
        <v>4.9241835238880392E-2</v>
      </c>
      <c r="F16" s="4">
        <f t="shared" si="1"/>
        <v>7.1941663072336473E-2</v>
      </c>
      <c r="G16" s="4">
        <f t="shared" si="2"/>
        <v>228188.63417038129</v>
      </c>
      <c r="H16" s="4">
        <f t="shared" si="3"/>
        <v>473917.14432227792</v>
      </c>
      <c r="J16" s="3" t="s">
        <v>19</v>
      </c>
      <c r="K16" s="6">
        <f>K14+K15</f>
        <v>329945.67007346172</v>
      </c>
      <c r="L16" s="6">
        <f>L14+L15</f>
        <v>428929.37109550025</v>
      </c>
    </row>
    <row r="17" spans="1:12">
      <c r="A17" s="4">
        <v>11</v>
      </c>
      <c r="B17" s="4"/>
      <c r="C17" s="4">
        <v>655</v>
      </c>
      <c r="D17" s="4">
        <v>926</v>
      </c>
      <c r="E17" s="4">
        <f t="shared" si="0"/>
        <v>3.425748942205719E-2</v>
      </c>
      <c r="F17" s="4">
        <f t="shared" si="1"/>
        <v>6.1157786020411567E-2</v>
      </c>
      <c r="G17" s="4">
        <f t="shared" si="2"/>
        <v>196562.62280587974</v>
      </c>
      <c r="H17" s="4">
        <f t="shared" si="3"/>
        <v>496097.28232893371</v>
      </c>
      <c r="J17" s="3" t="s">
        <v>17</v>
      </c>
      <c r="K17" s="2">
        <f>K16/K5</f>
        <v>0.198090195920953</v>
      </c>
      <c r="L17" s="2">
        <f>L16/L5</f>
        <v>0.1039360500943754</v>
      </c>
    </row>
    <row r="18" spans="1:12">
      <c r="A18" s="4">
        <v>12</v>
      </c>
      <c r="B18" s="4"/>
      <c r="C18" s="4">
        <v>794</v>
      </c>
      <c r="D18" s="4">
        <v>1050</v>
      </c>
      <c r="E18" s="4">
        <f t="shared" si="0"/>
        <v>2.2626795621868288E-2</v>
      </c>
      <c r="F18" s="4">
        <f t="shared" si="1"/>
        <v>5.0310627195158129E-2</v>
      </c>
      <c r="G18" s="4">
        <f t="shared" si="2"/>
        <v>157379.31934016757</v>
      </c>
      <c r="H18" s="4">
        <f t="shared" si="3"/>
        <v>462757.14894106449</v>
      </c>
    </row>
    <row r="19" spans="1:12">
      <c r="A19" s="4">
        <v>13</v>
      </c>
      <c r="B19" s="4"/>
      <c r="C19" s="4">
        <v>911</v>
      </c>
      <c r="D19" s="4">
        <v>1159</v>
      </c>
      <c r="E19" s="4">
        <f t="shared" si="0"/>
        <v>1.4207395346066513E-2</v>
      </c>
      <c r="F19" s="4">
        <f t="shared" si="1"/>
        <v>4.0103481070051024E-2</v>
      </c>
      <c r="G19" s="4">
        <f t="shared" si="2"/>
        <v>113380.12952393536</v>
      </c>
      <c r="H19" s="4">
        <f t="shared" si="3"/>
        <v>407164.22674725682</v>
      </c>
    </row>
    <row r="20" spans="1:12">
      <c r="A20" s="4">
        <v>14</v>
      </c>
      <c r="B20" s="4"/>
      <c r="C20" s="4">
        <v>986</v>
      </c>
      <c r="D20" s="4">
        <v>1249</v>
      </c>
      <c r="E20" s="4">
        <f t="shared" si="0"/>
        <v>8.4894352205828454E-3</v>
      </c>
      <c r="F20" s="4">
        <f t="shared" si="1"/>
        <v>3.1007575391901097E-2</v>
      </c>
      <c r="G20" s="4">
        <f t="shared" si="2"/>
        <v>73326.308196853439</v>
      </c>
      <c r="H20" s="4">
        <f t="shared" si="3"/>
        <v>339261.32418088394</v>
      </c>
    </row>
    <row r="21" spans="1:12">
      <c r="A21" s="4">
        <v>15</v>
      </c>
      <c r="B21" s="4"/>
      <c r="C21" s="4">
        <v>1006</v>
      </c>
      <c r="D21" s="4">
        <v>1301</v>
      </c>
      <c r="E21" s="4">
        <f t="shared" si="0"/>
        <v>4.8313891125315537E-3</v>
      </c>
      <c r="F21" s="4">
        <f t="shared" si="1"/>
        <v>2.3274100397887656E-2</v>
      </c>
      <c r="G21" s="4">
        <f t="shared" si="2"/>
        <v>42576.90643753107</v>
      </c>
      <c r="H21" s="4">
        <f t="shared" si="3"/>
        <v>265249.33645063016</v>
      </c>
    </row>
    <row r="22" spans="1:12">
      <c r="A22" s="4">
        <v>16</v>
      </c>
      <c r="B22" s="4"/>
      <c r="C22" s="4">
        <v>998</v>
      </c>
      <c r="D22" s="4">
        <v>1306</v>
      </c>
      <c r="E22" s="4">
        <f t="shared" si="0"/>
        <v>2.6204813820479796E-3</v>
      </c>
      <c r="F22" s="4">
        <f t="shared" si="1"/>
        <v>1.697009671640122E-2</v>
      </c>
      <c r="G22" s="4">
        <f t="shared" si="2"/>
        <v>22909.506072926819</v>
      </c>
      <c r="H22" s="4">
        <f t="shared" si="3"/>
        <v>194147.40968979115</v>
      </c>
    </row>
    <row r="23" spans="1:12">
      <c r="A23" s="4">
        <v>17</v>
      </c>
      <c r="B23" s="4"/>
      <c r="C23" s="4">
        <v>984</v>
      </c>
      <c r="D23" s="4">
        <v>1292</v>
      </c>
      <c r="E23" s="4">
        <f t="shared" si="0"/>
        <v>1.3553164208403058E-3</v>
      </c>
      <c r="F23" s="4">
        <f t="shared" si="1"/>
        <v>1.2026431040598499E-2</v>
      </c>
      <c r="G23" s="4">
        <f t="shared" si="2"/>
        <v>11682.610697016102</v>
      </c>
      <c r="H23" s="4">
        <f t="shared" si="3"/>
        <v>136114.18440301056</v>
      </c>
    </row>
    <row r="24" spans="1:12">
      <c r="A24" s="4">
        <v>18</v>
      </c>
      <c r="B24" s="4"/>
      <c r="C24" s="4">
        <v>971</v>
      </c>
      <c r="D24" s="4">
        <v>1283</v>
      </c>
      <c r="E24" s="4">
        <f t="shared" si="0"/>
        <v>6.6872153848485452E-4</v>
      </c>
      <c r="F24" s="4">
        <f t="shared" si="1"/>
        <v>8.2875216708619276E-3</v>
      </c>
      <c r="G24" s="4">
        <f t="shared" si="2"/>
        <v>5688.1186574906333</v>
      </c>
      <c r="H24" s="4">
        <f t="shared" si="3"/>
        <v>93144.119060550875</v>
      </c>
    </row>
    <row r="25" spans="1:12">
      <c r="A25" s="4">
        <v>19</v>
      </c>
      <c r="B25" s="4"/>
      <c r="C25" s="4">
        <v>960</v>
      </c>
      <c r="D25" s="4">
        <v>1282</v>
      </c>
      <c r="E25" s="4">
        <f t="shared" si="0"/>
        <v>3.1488920981222337E-4</v>
      </c>
      <c r="F25" s="4">
        <f t="shared" si="1"/>
        <v>5.5553435256279439E-3</v>
      </c>
      <c r="G25" s="4">
        <f t="shared" si="2"/>
        <v>2648.0922988368734</v>
      </c>
      <c r="H25" s="4">
        <f t="shared" si="3"/>
        <v>62388.28550273001</v>
      </c>
    </row>
    <row r="26" spans="1:12">
      <c r="A26" s="4">
        <v>20</v>
      </c>
      <c r="B26" s="4"/>
      <c r="C26" s="4">
        <v>962</v>
      </c>
      <c r="D26" s="4">
        <v>1288</v>
      </c>
      <c r="E26" s="4">
        <f t="shared" si="0"/>
        <v>1.415519609397882E-4</v>
      </c>
      <c r="F26" s="4">
        <f t="shared" si="1"/>
        <v>3.6235418343986666E-3</v>
      </c>
      <c r="G26" s="4">
        <f t="shared" si="2"/>
        <v>1192.8753610749079</v>
      </c>
      <c r="H26" s="4">
        <f t="shared" si="3"/>
        <v>40883.987692500028</v>
      </c>
    </row>
    <row r="27" spans="1:12">
      <c r="A27" s="4">
        <v>21</v>
      </c>
      <c r="B27" s="4"/>
      <c r="C27" s="4">
        <v>967</v>
      </c>
      <c r="D27" s="4">
        <v>1292</v>
      </c>
      <c r="E27" s="4">
        <f t="shared" si="0"/>
        <v>6.076272606640547E-5</v>
      </c>
      <c r="F27" s="4">
        <f t="shared" si="1"/>
        <v>2.3004318025048685E-3</v>
      </c>
      <c r="G27" s="4">
        <f t="shared" si="2"/>
        <v>514.71619149043545</v>
      </c>
      <c r="H27" s="4">
        <f t="shared" si="3"/>
        <v>26036.103106205901</v>
      </c>
    </row>
    <row r="28" spans="1:12">
      <c r="A28" s="4">
        <v>22</v>
      </c>
      <c r="B28" s="4"/>
      <c r="C28" s="4">
        <v>974</v>
      </c>
      <c r="D28" s="4">
        <v>1300</v>
      </c>
      <c r="E28" s="4">
        <f t="shared" si="0"/>
        <v>2.4912828657764194E-5</v>
      </c>
      <c r="F28" s="4">
        <f t="shared" si="1"/>
        <v>1.4218060303539362E-3</v>
      </c>
      <c r="G28" s="4">
        <f t="shared" si="2"/>
        <v>212.56223318692196</v>
      </c>
      <c r="H28" s="4">
        <f t="shared" si="3"/>
        <v>16191.527073670626</v>
      </c>
    </row>
    <row r="29" spans="1:12">
      <c r="A29" s="4">
        <v>23</v>
      </c>
      <c r="B29" s="4"/>
      <c r="C29" s="4">
        <v>980</v>
      </c>
      <c r="D29" s="4">
        <v>1313</v>
      </c>
      <c r="E29" s="4">
        <f t="shared" si="0"/>
        <v>9.7580029675385078E-6</v>
      </c>
      <c r="F29" s="4">
        <f t="shared" si="1"/>
        <v>8.5568501921793499E-4</v>
      </c>
      <c r="G29" s="4">
        <f t="shared" si="2"/>
        <v>83.770503875724572</v>
      </c>
      <c r="H29" s="4">
        <f t="shared" si="3"/>
        <v>9841.9864088423819</v>
      </c>
    </row>
    <row r="30" spans="1:12">
      <c r="A30" s="4">
        <v>24</v>
      </c>
      <c r="B30" s="4"/>
      <c r="C30" s="4">
        <v>985</v>
      </c>
      <c r="D30" s="4">
        <v>1328</v>
      </c>
      <c r="E30" s="4">
        <f t="shared" si="0"/>
        <v>3.6519720540848833E-6</v>
      </c>
      <c r="F30" s="4">
        <f t="shared" si="1"/>
        <v>5.0154115386364133E-4</v>
      </c>
      <c r="G30" s="4">
        <f t="shared" si="2"/>
        <v>31.511406065876823</v>
      </c>
      <c r="H30" s="4">
        <f t="shared" si="3"/>
        <v>5834.5686744188215</v>
      </c>
    </row>
    <row r="31" spans="1:12">
      <c r="A31" s="4">
        <v>25</v>
      </c>
      <c r="B31" s="4"/>
      <c r="C31" s="4">
        <v>991</v>
      </c>
      <c r="D31" s="4">
        <v>1344</v>
      </c>
      <c r="E31" s="4">
        <f t="shared" si="0"/>
        <v>1.3061397628754608E-6</v>
      </c>
      <c r="F31" s="4">
        <f t="shared" si="1"/>
        <v>2.8634222865827979E-4</v>
      </c>
      <c r="G31" s="4">
        <f t="shared" si="2"/>
        <v>11.338808263883935</v>
      </c>
      <c r="H31" s="4">
        <f t="shared" si="3"/>
        <v>3371.2330485745379</v>
      </c>
    </row>
    <row r="32" spans="1:12">
      <c r="A32" s="4">
        <v>26</v>
      </c>
      <c r="B32" s="4"/>
      <c r="C32" s="4">
        <v>0</v>
      </c>
      <c r="D32" s="4">
        <v>0</v>
      </c>
      <c r="E32" s="4">
        <f t="shared" si="0"/>
        <v>4.4648489721354441E-7</v>
      </c>
      <c r="F32" s="4">
        <f t="shared" si="1"/>
        <v>1.592610658785122E-4</v>
      </c>
      <c r="G32" s="4">
        <f t="shared" si="2"/>
        <v>0</v>
      </c>
      <c r="H32" s="4">
        <f t="shared" si="3"/>
        <v>0</v>
      </c>
    </row>
  </sheetData>
  <mergeCells count="5"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2020-07-08T17:19:23Z</dcterms:created>
  <dcterms:modified xsi:type="dcterms:W3CDTF">2020-07-09T19:53:47Z</dcterms:modified>
</cp:coreProperties>
</file>