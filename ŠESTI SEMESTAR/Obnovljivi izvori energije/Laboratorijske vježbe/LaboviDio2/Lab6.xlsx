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35" windowWidth="23955" windowHeight="9780" activeTab="1"/>
  </bookViews>
  <sheets>
    <sheet name="Zadatak1" sheetId="1" r:id="rId1"/>
    <sheet name="Zadatak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H9" i="2"/>
  <c r="H8"/>
  <c r="H7"/>
  <c r="H5"/>
  <c r="C3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2"/>
  <c r="B3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2"/>
  <c r="H3"/>
  <c r="L3" i="1"/>
  <c r="L2"/>
  <c r="L1"/>
  <c r="D3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"/>
  <c r="C3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"/>
</calcChain>
</file>

<file path=xl/sharedStrings.xml><?xml version="1.0" encoding="utf-8"?>
<sst xmlns="http://schemas.openxmlformats.org/spreadsheetml/2006/main" count="19" uniqueCount="17">
  <si>
    <t>v[m/s]</t>
  </si>
  <si>
    <t>t[h/god]</t>
  </si>
  <si>
    <t>v*t</t>
  </si>
  <si>
    <t>v^3*t</t>
  </si>
  <si>
    <t>vsr[m/s]</t>
  </si>
  <si>
    <t>veff[m/s]</t>
  </si>
  <si>
    <t>Pspec[W/m^2]</t>
  </si>
  <si>
    <t>k</t>
  </si>
  <si>
    <t>f(v)</t>
  </si>
  <si>
    <t>T[h/god]</t>
  </si>
  <si>
    <t>c</t>
  </si>
  <si>
    <t>P(v&lt;vx)</t>
  </si>
  <si>
    <t>vx1[m/s]</t>
  </si>
  <si>
    <t>vx2[m/s]</t>
  </si>
  <si>
    <t>P(v&lt;vx2)</t>
  </si>
  <si>
    <t>P(vx1&lt;v&lt;vx2)</t>
  </si>
  <si>
    <t>T(vx1&lt;v&lt;vx2)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</si>
</sst>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bs-Latn-BA"/>
  <c:chart>
    <c:autoTitleDeleted val="1"/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Zadatak1!$A$2:$A$27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xVal>
          <c:yVal>
            <c:numRef>
              <c:f>Zadatak1!$B$2:$B$27</c:f>
              <c:numCache>
                <c:formatCode>General</c:formatCode>
                <c:ptCount val="26"/>
                <c:pt idx="0">
                  <c:v>27</c:v>
                </c:pt>
                <c:pt idx="1">
                  <c:v>276</c:v>
                </c:pt>
                <c:pt idx="2">
                  <c:v>527</c:v>
                </c:pt>
                <c:pt idx="3">
                  <c:v>729</c:v>
                </c:pt>
                <c:pt idx="4">
                  <c:v>869</c:v>
                </c:pt>
                <c:pt idx="5">
                  <c:v>941</c:v>
                </c:pt>
                <c:pt idx="6">
                  <c:v>946</c:v>
                </c:pt>
                <c:pt idx="7">
                  <c:v>896</c:v>
                </c:pt>
                <c:pt idx="8">
                  <c:v>805</c:v>
                </c:pt>
                <c:pt idx="9">
                  <c:v>690</c:v>
                </c:pt>
                <c:pt idx="10">
                  <c:v>565</c:v>
                </c:pt>
                <c:pt idx="11">
                  <c:v>444</c:v>
                </c:pt>
                <c:pt idx="12">
                  <c:v>335</c:v>
                </c:pt>
                <c:pt idx="13">
                  <c:v>243</c:v>
                </c:pt>
                <c:pt idx="14">
                  <c:v>170</c:v>
                </c:pt>
                <c:pt idx="15">
                  <c:v>114</c:v>
                </c:pt>
                <c:pt idx="16">
                  <c:v>74</c:v>
                </c:pt>
                <c:pt idx="17">
                  <c:v>46</c:v>
                </c:pt>
                <c:pt idx="18">
                  <c:v>28</c:v>
                </c:pt>
                <c:pt idx="19">
                  <c:v>16</c:v>
                </c:pt>
                <c:pt idx="20">
                  <c:v>9</c:v>
                </c:pt>
                <c:pt idx="21">
                  <c:v>5</c:v>
                </c:pt>
                <c:pt idx="22">
                  <c:v>3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</c:numCache>
            </c:numRef>
          </c:yVal>
        </c:ser>
        <c:axId val="68609152"/>
        <c:axId val="68603264"/>
      </c:scatterChart>
      <c:valAx>
        <c:axId val="686091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v[m/s]</a:t>
                </a:r>
                <a:endParaRPr lang="bs-Latn-BA"/>
              </a:p>
            </c:rich>
          </c:tx>
          <c:layout/>
        </c:title>
        <c:numFmt formatCode="General" sourceLinked="1"/>
        <c:tickLblPos val="nextTo"/>
        <c:crossAx val="68603264"/>
        <c:crosses val="autoZero"/>
        <c:crossBetween val="midCat"/>
      </c:valAx>
      <c:valAx>
        <c:axId val="68603264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h/god</a:t>
                </a:r>
                <a:endParaRPr lang="bs-Latn-BA"/>
              </a:p>
            </c:rich>
          </c:tx>
          <c:layout/>
        </c:title>
        <c:numFmt formatCode="General" sourceLinked="1"/>
        <c:tickLblPos val="nextTo"/>
        <c:crossAx val="68609152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361950</xdr:colOff>
      <xdr:row>9</xdr:row>
      <xdr:rowOff>28575</xdr:rowOff>
    </xdr:from>
    <xdr:to>
      <xdr:col>15</xdr:col>
      <xdr:colOff>333375</xdr:colOff>
      <xdr:row>23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7"/>
  <sheetViews>
    <sheetView workbookViewId="0">
      <selection activeCell="H1" sqref="H1"/>
    </sheetView>
  </sheetViews>
  <sheetFormatPr defaultRowHeight="15"/>
  <cols>
    <col min="11" max="11" width="14.14062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K1" s="1" t="s">
        <v>4</v>
      </c>
      <c r="L1" s="2">
        <f>SUM(C2:C27)/8760</f>
        <v>6.9944063926940636</v>
      </c>
    </row>
    <row r="2" spans="1:12">
      <c r="A2" s="2">
        <v>0</v>
      </c>
      <c r="B2" s="2">
        <v>27</v>
      </c>
      <c r="C2" s="2">
        <f>A2*B2</f>
        <v>0</v>
      </c>
      <c r="D2" s="2">
        <f>A2^3*B2</f>
        <v>0</v>
      </c>
      <c r="K2" s="1" t="s">
        <v>5</v>
      </c>
      <c r="L2" s="2">
        <f>(SUM(D2:D27)/8760)^(1/3)</f>
        <v>8.6768584561785804</v>
      </c>
    </row>
    <row r="3" spans="1:12">
      <c r="A3" s="2">
        <v>1</v>
      </c>
      <c r="B3" s="2">
        <v>276</v>
      </c>
      <c r="C3" s="2">
        <f t="shared" ref="C3:C27" si="0">A3*B3</f>
        <v>276</v>
      </c>
      <c r="D3" s="2">
        <f t="shared" ref="D3:D27" si="1">A3^3*B3</f>
        <v>276</v>
      </c>
      <c r="K3" s="1" t="s">
        <v>6</v>
      </c>
      <c r="L3" s="2">
        <f>0.5*1.225*L2^3</f>
        <v>400.12310644977129</v>
      </c>
    </row>
    <row r="4" spans="1:12">
      <c r="A4" s="2">
        <v>2</v>
      </c>
      <c r="B4" s="2">
        <v>527</v>
      </c>
      <c r="C4" s="2">
        <f t="shared" si="0"/>
        <v>1054</v>
      </c>
      <c r="D4" s="2">
        <f t="shared" si="1"/>
        <v>4216</v>
      </c>
    </row>
    <row r="5" spans="1:12">
      <c r="A5" s="2">
        <v>3</v>
      </c>
      <c r="B5" s="2">
        <v>729</v>
      </c>
      <c r="C5" s="2">
        <f t="shared" si="0"/>
        <v>2187</v>
      </c>
      <c r="D5" s="2">
        <f t="shared" si="1"/>
        <v>19683</v>
      </c>
    </row>
    <row r="6" spans="1:12">
      <c r="A6" s="2">
        <v>4</v>
      </c>
      <c r="B6" s="2">
        <v>869</v>
      </c>
      <c r="C6" s="2">
        <f t="shared" si="0"/>
        <v>3476</v>
      </c>
      <c r="D6" s="2">
        <f t="shared" si="1"/>
        <v>55616</v>
      </c>
    </row>
    <row r="7" spans="1:12">
      <c r="A7" s="2">
        <v>5</v>
      </c>
      <c r="B7" s="2">
        <v>941</v>
      </c>
      <c r="C7" s="2">
        <f t="shared" si="0"/>
        <v>4705</v>
      </c>
      <c r="D7" s="2">
        <f t="shared" si="1"/>
        <v>117625</v>
      </c>
    </row>
    <row r="8" spans="1:12">
      <c r="A8" s="2">
        <v>6</v>
      </c>
      <c r="B8" s="2">
        <v>946</v>
      </c>
      <c r="C8" s="2">
        <f t="shared" si="0"/>
        <v>5676</v>
      </c>
      <c r="D8" s="2">
        <f t="shared" si="1"/>
        <v>204336</v>
      </c>
    </row>
    <row r="9" spans="1:12">
      <c r="A9" s="2">
        <v>7</v>
      </c>
      <c r="B9" s="2">
        <v>896</v>
      </c>
      <c r="C9" s="2">
        <f t="shared" si="0"/>
        <v>6272</v>
      </c>
      <c r="D9" s="2">
        <f t="shared" si="1"/>
        <v>307328</v>
      </c>
    </row>
    <row r="10" spans="1:12">
      <c r="A10" s="2">
        <v>8</v>
      </c>
      <c r="B10" s="2">
        <v>805</v>
      </c>
      <c r="C10" s="2">
        <f t="shared" si="0"/>
        <v>6440</v>
      </c>
      <c r="D10" s="2">
        <f t="shared" si="1"/>
        <v>412160</v>
      </c>
    </row>
    <row r="11" spans="1:12">
      <c r="A11" s="2">
        <v>9</v>
      </c>
      <c r="B11" s="2">
        <v>690</v>
      </c>
      <c r="C11" s="2">
        <f t="shared" si="0"/>
        <v>6210</v>
      </c>
      <c r="D11" s="2">
        <f t="shared" si="1"/>
        <v>503010</v>
      </c>
    </row>
    <row r="12" spans="1:12">
      <c r="A12" s="2">
        <v>10</v>
      </c>
      <c r="B12" s="2">
        <v>565</v>
      </c>
      <c r="C12" s="2">
        <f t="shared" si="0"/>
        <v>5650</v>
      </c>
      <c r="D12" s="2">
        <f t="shared" si="1"/>
        <v>565000</v>
      </c>
    </row>
    <row r="13" spans="1:12">
      <c r="A13" s="2">
        <v>11</v>
      </c>
      <c r="B13" s="2">
        <v>444</v>
      </c>
      <c r="C13" s="2">
        <f t="shared" si="0"/>
        <v>4884</v>
      </c>
      <c r="D13" s="2">
        <f t="shared" si="1"/>
        <v>590964</v>
      </c>
    </row>
    <row r="14" spans="1:12">
      <c r="A14" s="2">
        <v>12</v>
      </c>
      <c r="B14" s="2">
        <v>335</v>
      </c>
      <c r="C14" s="2">
        <f t="shared" si="0"/>
        <v>4020</v>
      </c>
      <c r="D14" s="2">
        <f t="shared" si="1"/>
        <v>578880</v>
      </c>
    </row>
    <row r="15" spans="1:12">
      <c r="A15" s="2">
        <v>13</v>
      </c>
      <c r="B15" s="2">
        <v>243</v>
      </c>
      <c r="C15" s="2">
        <f t="shared" si="0"/>
        <v>3159</v>
      </c>
      <c r="D15" s="2">
        <f t="shared" si="1"/>
        <v>533871</v>
      </c>
    </row>
    <row r="16" spans="1:12">
      <c r="A16" s="2">
        <v>14</v>
      </c>
      <c r="B16" s="2">
        <v>170</v>
      </c>
      <c r="C16" s="2">
        <f t="shared" si="0"/>
        <v>2380</v>
      </c>
      <c r="D16" s="2">
        <f t="shared" si="1"/>
        <v>466480</v>
      </c>
    </row>
    <row r="17" spans="1:4">
      <c r="A17" s="2">
        <v>15</v>
      </c>
      <c r="B17" s="2">
        <v>114</v>
      </c>
      <c r="C17" s="2">
        <f t="shared" si="0"/>
        <v>1710</v>
      </c>
      <c r="D17" s="2">
        <f t="shared" si="1"/>
        <v>384750</v>
      </c>
    </row>
    <row r="18" spans="1:4">
      <c r="A18" s="2">
        <v>16</v>
      </c>
      <c r="B18" s="2">
        <v>74</v>
      </c>
      <c r="C18" s="2">
        <f t="shared" si="0"/>
        <v>1184</v>
      </c>
      <c r="D18" s="2">
        <f t="shared" si="1"/>
        <v>303104</v>
      </c>
    </row>
    <row r="19" spans="1:4">
      <c r="A19" s="2">
        <v>17</v>
      </c>
      <c r="B19" s="2">
        <v>46</v>
      </c>
      <c r="C19" s="2">
        <f t="shared" si="0"/>
        <v>782</v>
      </c>
      <c r="D19" s="2">
        <f t="shared" si="1"/>
        <v>225998</v>
      </c>
    </row>
    <row r="20" spans="1:4">
      <c r="A20" s="2">
        <v>18</v>
      </c>
      <c r="B20" s="2">
        <v>28</v>
      </c>
      <c r="C20" s="2">
        <f t="shared" si="0"/>
        <v>504</v>
      </c>
      <c r="D20" s="2">
        <f t="shared" si="1"/>
        <v>163296</v>
      </c>
    </row>
    <row r="21" spans="1:4">
      <c r="A21" s="2">
        <v>19</v>
      </c>
      <c r="B21" s="2">
        <v>16</v>
      </c>
      <c r="C21" s="2">
        <f t="shared" si="0"/>
        <v>304</v>
      </c>
      <c r="D21" s="2">
        <f t="shared" si="1"/>
        <v>109744</v>
      </c>
    </row>
    <row r="22" spans="1:4">
      <c r="A22" s="2">
        <v>20</v>
      </c>
      <c r="B22" s="2">
        <v>9</v>
      </c>
      <c r="C22" s="2">
        <f t="shared" si="0"/>
        <v>180</v>
      </c>
      <c r="D22" s="2">
        <f t="shared" si="1"/>
        <v>72000</v>
      </c>
    </row>
    <row r="23" spans="1:4">
      <c r="A23" s="2">
        <v>21</v>
      </c>
      <c r="B23" s="2">
        <v>5</v>
      </c>
      <c r="C23" s="2">
        <f t="shared" si="0"/>
        <v>105</v>
      </c>
      <c r="D23" s="2">
        <f t="shared" si="1"/>
        <v>46305</v>
      </c>
    </row>
    <row r="24" spans="1:4">
      <c r="A24" s="2">
        <v>22</v>
      </c>
      <c r="B24" s="2">
        <v>3</v>
      </c>
      <c r="C24" s="2">
        <f t="shared" si="0"/>
        <v>66</v>
      </c>
      <c r="D24" s="2">
        <f t="shared" si="1"/>
        <v>31944</v>
      </c>
    </row>
    <row r="25" spans="1:4">
      <c r="A25" s="2">
        <v>23</v>
      </c>
      <c r="B25" s="2">
        <v>1</v>
      </c>
      <c r="C25" s="2">
        <f t="shared" si="0"/>
        <v>23</v>
      </c>
      <c r="D25" s="2">
        <f t="shared" si="1"/>
        <v>12167</v>
      </c>
    </row>
    <row r="26" spans="1:4">
      <c r="A26" s="2">
        <v>24</v>
      </c>
      <c r="B26" s="2">
        <v>1</v>
      </c>
      <c r="C26" s="2">
        <f t="shared" si="0"/>
        <v>24</v>
      </c>
      <c r="D26" s="2">
        <f t="shared" si="1"/>
        <v>13824</v>
      </c>
    </row>
    <row r="27" spans="1:4">
      <c r="A27" s="2">
        <v>25</v>
      </c>
      <c r="B27" s="2">
        <v>0</v>
      </c>
      <c r="C27" s="2">
        <f t="shared" si="0"/>
        <v>0</v>
      </c>
      <c r="D27" s="2">
        <f t="shared" si="1"/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>
      <selection activeCell="H9" sqref="H1:H9"/>
    </sheetView>
  </sheetViews>
  <sheetFormatPr defaultRowHeight="15"/>
  <cols>
    <col min="7" max="7" width="12.5703125" bestFit="1" customWidth="1"/>
  </cols>
  <sheetData>
    <row r="1" spans="1:8">
      <c r="A1" s="1" t="s">
        <v>0</v>
      </c>
      <c r="B1" s="1" t="s">
        <v>8</v>
      </c>
      <c r="C1" s="1" t="s">
        <v>9</v>
      </c>
      <c r="G1" s="1" t="s">
        <v>4</v>
      </c>
      <c r="H1" s="3">
        <v>10</v>
      </c>
    </row>
    <row r="2" spans="1:8">
      <c r="A2" s="3">
        <v>0</v>
      </c>
      <c r="B2" s="3">
        <f>WEIBULL(A2,$H$2,$H$3,FALSE)</f>
        <v>0</v>
      </c>
      <c r="C2" s="3">
        <f>B2*8760</f>
        <v>0</v>
      </c>
      <c r="G2" s="1" t="s">
        <v>7</v>
      </c>
      <c r="H2" s="3">
        <v>2</v>
      </c>
    </row>
    <row r="3" spans="1:8">
      <c r="A3" s="3">
        <v>1</v>
      </c>
      <c r="B3" s="3">
        <f t="shared" ref="B3:B36" si="0">WEIBULL(A3,$H$2,$H$3,FALSE)</f>
        <v>1.5585063359387448E-2</v>
      </c>
      <c r="C3" s="3">
        <f t="shared" ref="C3:C36" si="1">B3*8760</f>
        <v>136.52515502823405</v>
      </c>
      <c r="G3" s="1" t="s">
        <v>10</v>
      </c>
      <c r="H3" s="3">
        <f>2*H1/SQRT(3.14159)</f>
        <v>11.283796436463687</v>
      </c>
    </row>
    <row r="4" spans="1:8">
      <c r="A4" s="3">
        <v>2</v>
      </c>
      <c r="B4" s="3">
        <f t="shared" si="0"/>
        <v>3.0444283245415673E-2</v>
      </c>
      <c r="C4" s="3">
        <f t="shared" si="1"/>
        <v>266.69192122984128</v>
      </c>
      <c r="G4" s="1" t="s">
        <v>12</v>
      </c>
      <c r="H4" s="3">
        <v>3</v>
      </c>
    </row>
    <row r="5" spans="1:8">
      <c r="A5" s="3">
        <v>3</v>
      </c>
      <c r="B5" s="3">
        <f t="shared" si="0"/>
        <v>4.3907865266854189E-2</v>
      </c>
      <c r="C5" s="3">
        <f t="shared" si="1"/>
        <v>384.63289973764267</v>
      </c>
      <c r="G5" s="1" t="s">
        <v>11</v>
      </c>
      <c r="H5" s="3">
        <f>WEIBULL(H4,H2,H3,TRUE)</f>
        <v>6.8245373269497422E-2</v>
      </c>
    </row>
    <row r="6" spans="1:8">
      <c r="A6" s="3">
        <v>4</v>
      </c>
      <c r="B6" s="3">
        <f t="shared" si="0"/>
        <v>5.5412085220592773E-2</v>
      </c>
      <c r="C6" s="3">
        <f t="shared" si="1"/>
        <v>485.4098665323927</v>
      </c>
      <c r="G6" s="1" t="s">
        <v>13</v>
      </c>
      <c r="H6" s="3">
        <v>6</v>
      </c>
    </row>
    <row r="7" spans="1:8">
      <c r="A7" s="3">
        <v>5</v>
      </c>
      <c r="B7" s="3">
        <f t="shared" si="0"/>
        <v>6.4538083476340269E-2</v>
      </c>
      <c r="C7" s="3">
        <f t="shared" si="1"/>
        <v>565.35361125274073</v>
      </c>
      <c r="G7" s="1" t="s">
        <v>14</v>
      </c>
      <c r="H7" s="3">
        <f>WEIBULL(H6,H2,H3,TRUE)</f>
        <v>0.24628660803939972</v>
      </c>
    </row>
    <row r="8" spans="1:8">
      <c r="A8" s="3">
        <v>6</v>
      </c>
      <c r="B8" s="3">
        <f t="shared" si="0"/>
        <v>7.103575365148504E-2</v>
      </c>
      <c r="C8" s="3">
        <f t="shared" si="1"/>
        <v>622.27320198700897</v>
      </c>
      <c r="G8" s="1" t="s">
        <v>15</v>
      </c>
      <c r="H8" s="3">
        <f>H7-H5</f>
        <v>0.1780412347699023</v>
      </c>
    </row>
    <row r="9" spans="1:8">
      <c r="A9" s="3">
        <v>7</v>
      </c>
      <c r="B9" s="3">
        <f t="shared" si="0"/>
        <v>7.4831006738337438E-2</v>
      </c>
      <c r="C9" s="3">
        <f t="shared" si="1"/>
        <v>655.51961902783592</v>
      </c>
      <c r="G9" s="1" t="s">
        <v>16</v>
      </c>
      <c r="H9" s="3">
        <f>H8*8760</f>
        <v>1559.6412165843442</v>
      </c>
    </row>
    <row r="10" spans="1:8">
      <c r="A10" s="3">
        <v>8</v>
      </c>
      <c r="B10" s="3">
        <f t="shared" si="0"/>
        <v>7.6016779232953274E-2</v>
      </c>
      <c r="C10" s="3">
        <f t="shared" si="1"/>
        <v>665.90698608067066</v>
      </c>
    </row>
    <row r="11" spans="1:8">
      <c r="A11" s="3">
        <v>9</v>
      </c>
      <c r="B11" s="3">
        <f t="shared" si="0"/>
        <v>7.4830051023842964E-2</v>
      </c>
      <c r="C11" s="3">
        <f t="shared" si="1"/>
        <v>655.51124696886438</v>
      </c>
    </row>
    <row r="12" spans="1:8">
      <c r="A12" s="3">
        <v>10</v>
      </c>
      <c r="B12" s="3">
        <f t="shared" si="0"/>
        <v>7.1618580651986702E-2</v>
      </c>
      <c r="C12" s="3">
        <f t="shared" si="1"/>
        <v>627.37876651140346</v>
      </c>
    </row>
    <row r="13" spans="1:8">
      <c r="A13" s="3">
        <v>11</v>
      </c>
      <c r="B13" s="3">
        <f t="shared" si="0"/>
        <v>6.6801881840959712E-2</v>
      </c>
      <c r="C13" s="3">
        <f t="shared" si="1"/>
        <v>585.18448492680704</v>
      </c>
    </row>
    <row r="14" spans="1:8">
      <c r="A14" s="3">
        <v>12</v>
      </c>
      <c r="B14" s="3">
        <f t="shared" si="0"/>
        <v>6.0831101949972759E-2</v>
      </c>
      <c r="C14" s="3">
        <f t="shared" si="1"/>
        <v>532.8804530817614</v>
      </c>
    </row>
    <row r="15" spans="1:8">
      <c r="A15" s="3">
        <v>13</v>
      </c>
      <c r="B15" s="3">
        <f t="shared" si="0"/>
        <v>5.4151979902816109E-2</v>
      </c>
      <c r="C15" s="3">
        <f t="shared" si="1"/>
        <v>474.37134394866911</v>
      </c>
    </row>
    <row r="16" spans="1:8">
      <c r="A16" s="3">
        <v>14</v>
      </c>
      <c r="B16" s="3">
        <f t="shared" si="0"/>
        <v>4.7174108022585655E-2</v>
      </c>
      <c r="C16" s="3">
        <f t="shared" si="1"/>
        <v>413.24518627785034</v>
      </c>
    </row>
    <row r="17" spans="1:3">
      <c r="A17" s="3">
        <v>15</v>
      </c>
      <c r="B17" s="3">
        <f t="shared" si="0"/>
        <v>4.0248501756126473E-2</v>
      </c>
      <c r="C17" s="3">
        <f t="shared" si="1"/>
        <v>352.57687538366793</v>
      </c>
    </row>
    <row r="18" spans="1:3">
      <c r="A18" s="3">
        <v>16</v>
      </c>
      <c r="B18" s="3">
        <f t="shared" si="0"/>
        <v>3.3654207178188809E-2</v>
      </c>
      <c r="C18" s="3">
        <f t="shared" si="1"/>
        <v>294.81085488093396</v>
      </c>
    </row>
    <row r="19" spans="1:3">
      <c r="A19" s="3">
        <v>17</v>
      </c>
      <c r="B19" s="3">
        <f t="shared" si="0"/>
        <v>2.7593535455875402E-2</v>
      </c>
      <c r="C19" s="3">
        <f t="shared" si="1"/>
        <v>241.71937059346851</v>
      </c>
    </row>
    <row r="20" spans="1:3">
      <c r="A20" s="3">
        <v>18</v>
      </c>
      <c r="B20" s="3">
        <f t="shared" si="0"/>
        <v>2.2194639849749564E-2</v>
      </c>
      <c r="C20" s="3">
        <f t="shared" si="1"/>
        <v>194.4250450838062</v>
      </c>
    </row>
    <row r="21" spans="1:3">
      <c r="A21" s="3">
        <v>19</v>
      </c>
      <c r="B21" s="3">
        <f t="shared" si="0"/>
        <v>1.7519612326590505E-2</v>
      </c>
      <c r="C21" s="3">
        <f t="shared" si="1"/>
        <v>153.47180398093283</v>
      </c>
    </row>
    <row r="22" spans="1:3">
      <c r="A22" s="3">
        <v>20</v>
      </c>
      <c r="B22" s="3">
        <f t="shared" si="0"/>
        <v>1.3576077373120967E-2</v>
      </c>
      <c r="C22" s="3">
        <f t="shared" si="1"/>
        <v>118.92643778853967</v>
      </c>
    </row>
    <row r="23" spans="1:3">
      <c r="A23" s="3">
        <v>21</v>
      </c>
      <c r="B23" s="3">
        <f t="shared" si="0"/>
        <v>1.0330352602088902E-2</v>
      </c>
      <c r="C23" s="3">
        <f t="shared" si="1"/>
        <v>90.493888794298783</v>
      </c>
    </row>
    <row r="24" spans="1:3">
      <c r="A24" s="3">
        <v>22</v>
      </c>
      <c r="B24" s="3">
        <f t="shared" si="0"/>
        <v>7.7205492430409747E-3</v>
      </c>
      <c r="C24" s="3">
        <f t="shared" si="1"/>
        <v>67.632011369038935</v>
      </c>
    </row>
    <row r="25" spans="1:3">
      <c r="A25" s="3">
        <v>23</v>
      </c>
      <c r="B25" s="3">
        <f t="shared" si="0"/>
        <v>5.6684085228984301E-3</v>
      </c>
      <c r="C25" s="3">
        <f t="shared" si="1"/>
        <v>49.655258660590249</v>
      </c>
    </row>
    <row r="26" spans="1:3">
      <c r="A26" s="3">
        <v>24</v>
      </c>
      <c r="B26" s="3">
        <f t="shared" si="0"/>
        <v>4.0891257083612003E-3</v>
      </c>
      <c r="C26" s="3">
        <f t="shared" si="1"/>
        <v>35.820741205244111</v>
      </c>
    </row>
    <row r="27" spans="1:3">
      <c r="A27" s="3">
        <v>25</v>
      </c>
      <c r="B27" s="3">
        <f t="shared" si="0"/>
        <v>2.8988334675189315E-3</v>
      </c>
      <c r="C27" s="3">
        <f t="shared" si="1"/>
        <v>25.39378117546584</v>
      </c>
    </row>
    <row r="28" spans="1:3">
      <c r="A28" s="3">
        <v>26</v>
      </c>
      <c r="B28" s="3">
        <f t="shared" si="0"/>
        <v>2.019755352875947E-3</v>
      </c>
      <c r="C28" s="3">
        <f t="shared" si="1"/>
        <v>17.693056891193297</v>
      </c>
    </row>
    <row r="29" spans="1:3">
      <c r="A29" s="3">
        <v>27</v>
      </c>
      <c r="B29" s="3">
        <f t="shared" si="0"/>
        <v>1.3832779997913073E-3</v>
      </c>
      <c r="C29" s="3">
        <f t="shared" si="1"/>
        <v>12.117515278171851</v>
      </c>
    </row>
    <row r="30" spans="1:3">
      <c r="A30" s="3">
        <v>28</v>
      </c>
      <c r="B30" s="3">
        <f t="shared" si="0"/>
        <v>9.313268993582694E-4</v>
      </c>
      <c r="C30" s="3">
        <f t="shared" si="1"/>
        <v>8.1584236383784408</v>
      </c>
    </row>
    <row r="31" spans="1:3">
      <c r="A31" s="3">
        <v>29</v>
      </c>
      <c r="B31" s="3">
        <f t="shared" si="0"/>
        <v>6.1647951095279989E-4</v>
      </c>
      <c r="C31" s="3">
        <f t="shared" si="1"/>
        <v>5.4003605159465273</v>
      </c>
    </row>
    <row r="32" spans="1:3">
      <c r="A32" s="3">
        <v>30</v>
      </c>
      <c r="B32" s="3">
        <f t="shared" si="0"/>
        <v>4.0123292309091275E-4</v>
      </c>
      <c r="C32" s="3">
        <f t="shared" si="1"/>
        <v>3.5148004062763958</v>
      </c>
    </row>
    <row r="33" spans="1:3">
      <c r="A33" s="3">
        <v>31</v>
      </c>
      <c r="B33" s="3">
        <f t="shared" si="0"/>
        <v>2.5678507785509476E-4</v>
      </c>
      <c r="C33" s="3">
        <f t="shared" si="1"/>
        <v>2.2494372820106299</v>
      </c>
    </row>
    <row r="34" spans="1:3">
      <c r="A34" s="3">
        <v>32</v>
      </c>
      <c r="B34" s="3">
        <f t="shared" si="0"/>
        <v>1.616102763598959E-4</v>
      </c>
      <c r="C34" s="3">
        <f t="shared" si="1"/>
        <v>1.4157060209126882</v>
      </c>
    </row>
    <row r="35" spans="1:3">
      <c r="A35" s="3">
        <v>33</v>
      </c>
      <c r="B35" s="3">
        <f t="shared" si="0"/>
        <v>1.000280872517104E-4</v>
      </c>
      <c r="C35" s="3">
        <f t="shared" si="1"/>
        <v>0.8762460443249831</v>
      </c>
    </row>
    <row r="36" spans="1:3">
      <c r="A36" s="3">
        <v>34</v>
      </c>
      <c r="B36" s="3">
        <f t="shared" si="0"/>
        <v>6.0891138629113008E-5</v>
      </c>
      <c r="C36" s="3">
        <f t="shared" si="1"/>
        <v>0.53340637439102989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Zadatak1</vt:lpstr>
      <vt:lpstr>Zadatak2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2020-07-08T12:51:35Z</dcterms:created>
  <dcterms:modified xsi:type="dcterms:W3CDTF">2020-07-08T13:34:16Z</dcterms:modified>
</cp:coreProperties>
</file>