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35" windowWidth="23955" windowHeight="9780"/>
  </bookViews>
  <sheets>
    <sheet name="Sheet1" sheetId="1" r:id="rId1"/>
    <sheet name="Sheet2" sheetId="2" r:id="rId2"/>
    <sheet name="Sheet3" sheetId="3" r:id="rId3"/>
  </sheets>
  <definedNames>
    <definedName name="solver_adj" localSheetId="0" hidden="1">Sheet1!$B$24</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Sheet1!$B$30</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1</definedName>
    <definedName name="solver_val" localSheetId="0" hidden="1">0</definedName>
  </definedNames>
  <calcPr calcId="125725"/>
</workbook>
</file>

<file path=xl/calcChain.xml><?xml version="1.0" encoding="utf-8"?>
<calcChain xmlns="http://schemas.openxmlformats.org/spreadsheetml/2006/main">
  <c r="B33" i="1"/>
  <c r="B32"/>
  <c r="B31"/>
  <c r="B26"/>
  <c r="F8" s="1"/>
  <c r="F6" l="1"/>
  <c r="H6" s="1"/>
  <c r="F14"/>
  <c r="H14" s="1"/>
  <c r="F22"/>
  <c r="H22" s="1"/>
  <c r="F17"/>
  <c r="J17" s="1"/>
  <c r="F9"/>
  <c r="J9" s="1"/>
  <c r="F18"/>
  <c r="F10"/>
  <c r="G10" s="1"/>
  <c r="F21"/>
  <c r="J21" s="1"/>
  <c r="F13"/>
  <c r="J13" s="1"/>
  <c r="F5"/>
  <c r="J5" s="1"/>
  <c r="G8"/>
  <c r="J8"/>
  <c r="I8"/>
  <c r="H8"/>
  <c r="F4"/>
  <c r="F19"/>
  <c r="F15"/>
  <c r="F11"/>
  <c r="F7"/>
  <c r="F20"/>
  <c r="F16"/>
  <c r="F12"/>
  <c r="H17" l="1"/>
  <c r="I5"/>
  <c r="G5"/>
  <c r="I21"/>
  <c r="I6"/>
  <c r="G17"/>
  <c r="I17"/>
  <c r="G14"/>
  <c r="J14"/>
  <c r="G22"/>
  <c r="H13"/>
  <c r="G21"/>
  <c r="J6"/>
  <c r="H21"/>
  <c r="I9"/>
  <c r="G9"/>
  <c r="I22"/>
  <c r="G6"/>
  <c r="J22"/>
  <c r="I14"/>
  <c r="H18"/>
  <c r="J18"/>
  <c r="I18"/>
  <c r="H10"/>
  <c r="J10"/>
  <c r="I10"/>
  <c r="I13"/>
  <c r="H9"/>
  <c r="G13"/>
  <c r="H5"/>
  <c r="G18"/>
  <c r="J20"/>
  <c r="I20"/>
  <c r="H20"/>
  <c r="G20"/>
  <c r="G7"/>
  <c r="J7"/>
  <c r="I7"/>
  <c r="H7"/>
  <c r="G4"/>
  <c r="J4"/>
  <c r="I4"/>
  <c r="H4"/>
  <c r="G16"/>
  <c r="J16"/>
  <c r="I16"/>
  <c r="H16"/>
  <c r="G19"/>
  <c r="H19"/>
  <c r="J19"/>
  <c r="I19"/>
  <c r="J12"/>
  <c r="I12"/>
  <c r="H12"/>
  <c r="G12"/>
  <c r="G15"/>
  <c r="J15"/>
  <c r="I15"/>
  <c r="H15"/>
  <c r="G11"/>
  <c r="H11"/>
  <c r="J11"/>
  <c r="I11"/>
  <c r="B28" l="1"/>
  <c r="B34"/>
  <c r="B35" s="1"/>
  <c r="B30"/>
  <c r="B29"/>
  <c r="B37" l="1"/>
  <c r="B40" s="1"/>
  <c r="B36"/>
  <c r="B39" s="1"/>
  <c r="B38"/>
  <c r="B41" s="1"/>
</calcChain>
</file>

<file path=xl/sharedStrings.xml><?xml version="1.0" encoding="utf-8"?>
<sst xmlns="http://schemas.openxmlformats.org/spreadsheetml/2006/main" count="39" uniqueCount="34">
  <si>
    <t>v[m/s]</t>
  </si>
  <si>
    <t>Model</t>
  </si>
  <si>
    <t>Enercon E66</t>
  </si>
  <si>
    <t>Snaga[kW]</t>
  </si>
  <si>
    <t>Precnik lopatica[m]</t>
  </si>
  <si>
    <t>TW 1.5</t>
  </si>
  <si>
    <t>vsr[m/s]</t>
  </si>
  <si>
    <t>k</t>
  </si>
  <si>
    <t>c</t>
  </si>
  <si>
    <t>f(v)</t>
  </si>
  <si>
    <t>Tg[h]</t>
  </si>
  <si>
    <t>P1*t[kWh]</t>
  </si>
  <si>
    <t>P2*t[kWh]</t>
  </si>
  <si>
    <t>P3*t[kWh]</t>
  </si>
  <si>
    <t>Wg1[kWh]</t>
  </si>
  <si>
    <t>Wg2[kWh]</t>
  </si>
  <si>
    <t>Wg3[kWh]</t>
  </si>
  <si>
    <t>A1[m^2]</t>
  </si>
  <si>
    <t>A2[m^2]</t>
  </si>
  <si>
    <t>A3[m^2]</t>
  </si>
  <si>
    <t>veff[m/s]</t>
  </si>
  <si>
    <t>v^3*f(v)</t>
  </si>
  <si>
    <t>Pspec[W]</t>
  </si>
  <si>
    <t>W1[kWh]</t>
  </si>
  <si>
    <t>W2[kWh]</t>
  </si>
  <si>
    <t>W3[kWh]</t>
  </si>
  <si>
    <t>eta 1</t>
  </si>
  <si>
    <t>eta 2</t>
  </si>
  <si>
    <t>eta 3</t>
  </si>
  <si>
    <t>Enercon 66m</t>
  </si>
  <si>
    <t>TW 65m</t>
  </si>
  <si>
    <t>TW 77m</t>
  </si>
  <si>
    <t>vsrmax[m/s]</t>
  </si>
  <si>
    <t>Wgmax[kWh]</t>
  </si>
</sst>
</file>

<file path=xl/styles.xml><?xml version="1.0" encoding="utf-8"?>
<styleSheet xmlns="http://schemas.openxmlformats.org/spreadsheetml/2006/main">
  <fonts count="2">
    <font>
      <sz val="11"/>
      <color theme="1"/>
      <name val="Calibri"/>
      <family val="2"/>
      <charset val="238"/>
      <scheme val="minor"/>
    </font>
    <font>
      <b/>
      <sz val="11"/>
      <color theme="1"/>
      <name val="Calibri"/>
      <family val="2"/>
      <charset val="238"/>
      <scheme val="minor"/>
    </font>
  </fonts>
  <fills count="5">
    <fill>
      <patternFill patternType="none"/>
    </fill>
    <fill>
      <patternFill patternType="gray125"/>
    </fill>
    <fill>
      <patternFill patternType="solid">
        <fgColor theme="6" tint="0.39997558519241921"/>
        <bgColor indexed="64"/>
      </patternFill>
    </fill>
    <fill>
      <patternFill patternType="solid">
        <fgColor theme="6" tint="-0.249977111117893"/>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3" borderId="0" xfId="0" applyFill="1"/>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center"/>
    </xf>
    <xf numFmtId="0" fontId="0" fillId="4" borderId="0" xfId="0" applyFill="1"/>
    <xf numFmtId="0" fontId="0" fillId="4" borderId="0" xfId="0" applyFont="1" applyFill="1"/>
    <xf numFmtId="10" fontId="0" fillId="2" borderId="0" xfId="0" applyNumberFormat="1"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bs-Latn-BA"/>
  <c:chart>
    <c:title>
      <c:tx>
        <c:rich>
          <a:bodyPr/>
          <a:lstStyle/>
          <a:p>
            <a:pPr>
              <a:defRPr/>
            </a:pPr>
            <a:r>
              <a:rPr lang="en-US"/>
              <a:t>Karakteristike</a:t>
            </a:r>
            <a:r>
              <a:rPr lang="en-US" baseline="0"/>
              <a:t> snage</a:t>
            </a:r>
            <a:endParaRPr lang="bs-Latn-BA"/>
          </a:p>
        </c:rich>
      </c:tx>
      <c:layout/>
    </c:title>
    <c:plotArea>
      <c:layout/>
      <c:scatterChart>
        <c:scatterStyle val="lineMarker"/>
        <c:ser>
          <c:idx val="0"/>
          <c:order val="0"/>
          <c:tx>
            <c:v>Enercon E66 1.5kW 66m</c:v>
          </c:tx>
          <c:marker>
            <c:symbol val="none"/>
          </c:marker>
          <c:xVal>
            <c:numRef>
              <c:f>Sheet1!$A$4:$A$22</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Sheet1!$C$4:$C$22</c:f>
              <c:numCache>
                <c:formatCode>General</c:formatCode>
                <c:ptCount val="19"/>
                <c:pt idx="0">
                  <c:v>0</c:v>
                </c:pt>
                <c:pt idx="1">
                  <c:v>0</c:v>
                </c:pt>
                <c:pt idx="2">
                  <c:v>1.8</c:v>
                </c:pt>
                <c:pt idx="3">
                  <c:v>30.1</c:v>
                </c:pt>
                <c:pt idx="4">
                  <c:v>89.3</c:v>
                </c:pt>
                <c:pt idx="5">
                  <c:v>172.5</c:v>
                </c:pt>
                <c:pt idx="6">
                  <c:v>296</c:v>
                </c:pt>
                <c:pt idx="7">
                  <c:v>447</c:v>
                </c:pt>
                <c:pt idx="8">
                  <c:v>648</c:v>
                </c:pt>
                <c:pt idx="9">
                  <c:v>877</c:v>
                </c:pt>
                <c:pt idx="10">
                  <c:v>1122</c:v>
                </c:pt>
                <c:pt idx="11">
                  <c:v>1337</c:v>
                </c:pt>
                <c:pt idx="12">
                  <c:v>1468</c:v>
                </c:pt>
                <c:pt idx="13">
                  <c:v>1500</c:v>
                </c:pt>
                <c:pt idx="14">
                  <c:v>1500</c:v>
                </c:pt>
                <c:pt idx="15">
                  <c:v>1500</c:v>
                </c:pt>
                <c:pt idx="16">
                  <c:v>1500</c:v>
                </c:pt>
                <c:pt idx="17">
                  <c:v>1500</c:v>
                </c:pt>
                <c:pt idx="18">
                  <c:v>1500</c:v>
                </c:pt>
              </c:numCache>
            </c:numRef>
          </c:yVal>
        </c:ser>
        <c:ser>
          <c:idx val="1"/>
          <c:order val="1"/>
          <c:tx>
            <c:v>TW 1.5 1500kW 65m</c:v>
          </c:tx>
          <c:marker>
            <c:symbol val="none"/>
          </c:marker>
          <c:xVal>
            <c:numRef>
              <c:f>Sheet1!$A$4:$A$22</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Sheet1!$D$4:$D$22</c:f>
              <c:numCache>
                <c:formatCode>General</c:formatCode>
                <c:ptCount val="19"/>
                <c:pt idx="0">
                  <c:v>0</c:v>
                </c:pt>
                <c:pt idx="1">
                  <c:v>0</c:v>
                </c:pt>
                <c:pt idx="2">
                  <c:v>0</c:v>
                </c:pt>
                <c:pt idx="3">
                  <c:v>12</c:v>
                </c:pt>
                <c:pt idx="4">
                  <c:v>74</c:v>
                </c:pt>
                <c:pt idx="5">
                  <c:v>157</c:v>
                </c:pt>
                <c:pt idx="6">
                  <c:v>266</c:v>
                </c:pt>
                <c:pt idx="7">
                  <c:v>407</c:v>
                </c:pt>
                <c:pt idx="8">
                  <c:v>600</c:v>
                </c:pt>
                <c:pt idx="9">
                  <c:v>822</c:v>
                </c:pt>
                <c:pt idx="10">
                  <c:v>1054</c:v>
                </c:pt>
                <c:pt idx="11">
                  <c:v>1285</c:v>
                </c:pt>
                <c:pt idx="12">
                  <c:v>1500</c:v>
                </c:pt>
                <c:pt idx="13">
                  <c:v>1500</c:v>
                </c:pt>
                <c:pt idx="14">
                  <c:v>1500</c:v>
                </c:pt>
                <c:pt idx="15">
                  <c:v>1500</c:v>
                </c:pt>
                <c:pt idx="16">
                  <c:v>1500</c:v>
                </c:pt>
                <c:pt idx="17">
                  <c:v>1500</c:v>
                </c:pt>
                <c:pt idx="18">
                  <c:v>1500</c:v>
                </c:pt>
              </c:numCache>
            </c:numRef>
          </c:yVal>
        </c:ser>
        <c:ser>
          <c:idx val="2"/>
          <c:order val="2"/>
          <c:tx>
            <c:v>TW 1.5 1500kW 77m</c:v>
          </c:tx>
          <c:marker>
            <c:symbol val="none"/>
          </c:marker>
          <c:xVal>
            <c:numRef>
              <c:f>Sheet1!$A$4:$A$22</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Sheet1!$E$4:$E$22</c:f>
              <c:numCache>
                <c:formatCode>General</c:formatCode>
                <c:ptCount val="19"/>
                <c:pt idx="0">
                  <c:v>0</c:v>
                </c:pt>
                <c:pt idx="1">
                  <c:v>0</c:v>
                </c:pt>
                <c:pt idx="2">
                  <c:v>4</c:v>
                </c:pt>
                <c:pt idx="3">
                  <c:v>35</c:v>
                </c:pt>
                <c:pt idx="4">
                  <c:v>116</c:v>
                </c:pt>
                <c:pt idx="5">
                  <c:v>235</c:v>
                </c:pt>
                <c:pt idx="6">
                  <c:v>395</c:v>
                </c:pt>
                <c:pt idx="7">
                  <c:v>595</c:v>
                </c:pt>
                <c:pt idx="8">
                  <c:v>890</c:v>
                </c:pt>
                <c:pt idx="9">
                  <c:v>1210</c:v>
                </c:pt>
                <c:pt idx="10">
                  <c:v>1400</c:v>
                </c:pt>
                <c:pt idx="11">
                  <c:v>1500</c:v>
                </c:pt>
                <c:pt idx="12">
                  <c:v>1500</c:v>
                </c:pt>
                <c:pt idx="13">
                  <c:v>1500</c:v>
                </c:pt>
                <c:pt idx="14">
                  <c:v>1500</c:v>
                </c:pt>
                <c:pt idx="15">
                  <c:v>1500</c:v>
                </c:pt>
                <c:pt idx="16">
                  <c:v>1500</c:v>
                </c:pt>
                <c:pt idx="17">
                  <c:v>1500</c:v>
                </c:pt>
                <c:pt idx="18">
                  <c:v>1500</c:v>
                </c:pt>
              </c:numCache>
            </c:numRef>
          </c:yVal>
        </c:ser>
        <c:axId val="68258048"/>
        <c:axId val="68256512"/>
      </c:scatterChart>
      <c:valAx>
        <c:axId val="68258048"/>
        <c:scaling>
          <c:orientation val="minMax"/>
        </c:scaling>
        <c:axPos val="b"/>
        <c:title>
          <c:tx>
            <c:rich>
              <a:bodyPr/>
              <a:lstStyle/>
              <a:p>
                <a:pPr>
                  <a:defRPr/>
                </a:pPr>
                <a:r>
                  <a:rPr lang="en-US"/>
                  <a:t>v[m/s]</a:t>
                </a:r>
                <a:endParaRPr lang="bs-Latn-BA"/>
              </a:p>
            </c:rich>
          </c:tx>
          <c:layout/>
        </c:title>
        <c:numFmt formatCode="General" sourceLinked="1"/>
        <c:tickLblPos val="nextTo"/>
        <c:crossAx val="68256512"/>
        <c:crosses val="autoZero"/>
        <c:crossBetween val="midCat"/>
      </c:valAx>
      <c:valAx>
        <c:axId val="68256512"/>
        <c:scaling>
          <c:orientation val="minMax"/>
        </c:scaling>
        <c:axPos val="l"/>
        <c:majorGridlines/>
        <c:title>
          <c:tx>
            <c:rich>
              <a:bodyPr rot="-5400000" vert="horz"/>
              <a:lstStyle/>
              <a:p>
                <a:pPr>
                  <a:defRPr/>
                </a:pPr>
                <a:r>
                  <a:rPr lang="en-US"/>
                  <a:t>P[kW]</a:t>
                </a:r>
                <a:endParaRPr lang="bs-Latn-BA"/>
              </a:p>
            </c:rich>
          </c:tx>
          <c:layout/>
        </c:title>
        <c:numFmt formatCode="General" sourceLinked="1"/>
        <c:tickLblPos val="nextTo"/>
        <c:crossAx val="68258048"/>
        <c:crosses val="autoZero"/>
        <c:crossBetween val="midCat"/>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bs-Latn-BA"/>
  <c:chart>
    <c:title>
      <c:tx>
        <c:rich>
          <a:bodyPr/>
          <a:lstStyle/>
          <a:p>
            <a:pPr>
              <a:defRPr/>
            </a:pPr>
            <a:r>
              <a:rPr lang="en-US"/>
              <a:t>Zavisnost</a:t>
            </a:r>
            <a:r>
              <a:rPr lang="en-US" baseline="0"/>
              <a:t> proizvedene energije od srednje brzine</a:t>
            </a:r>
            <a:r>
              <a:rPr lang="bs-Latn-BA"/>
              <a:t> </a:t>
            </a:r>
          </a:p>
        </c:rich>
      </c:tx>
      <c:layout/>
    </c:title>
    <c:plotArea>
      <c:layout/>
      <c:scatterChart>
        <c:scatterStyle val="lineMarker"/>
        <c:ser>
          <c:idx val="0"/>
          <c:order val="0"/>
          <c:tx>
            <c:v>Enercon </c:v>
          </c:tx>
          <c:marker>
            <c:symbol val="none"/>
          </c:marker>
          <c:xVal>
            <c:numRef>
              <c:f>Sheet1!$H$26:$H$31</c:f>
              <c:numCache>
                <c:formatCode>General</c:formatCode>
                <c:ptCount val="6"/>
                <c:pt idx="0">
                  <c:v>7</c:v>
                </c:pt>
                <c:pt idx="1">
                  <c:v>9</c:v>
                </c:pt>
                <c:pt idx="2">
                  <c:v>11</c:v>
                </c:pt>
                <c:pt idx="3">
                  <c:v>13</c:v>
                </c:pt>
                <c:pt idx="4">
                  <c:v>15</c:v>
                </c:pt>
                <c:pt idx="5">
                  <c:v>17</c:v>
                </c:pt>
              </c:numCache>
            </c:numRef>
          </c:xVal>
          <c:yVal>
            <c:numRef>
              <c:f>Sheet1!$I$26:$I$31</c:f>
              <c:numCache>
                <c:formatCode>General</c:formatCode>
                <c:ptCount val="6"/>
                <c:pt idx="0">
                  <c:v>3820369</c:v>
                </c:pt>
                <c:pt idx="1">
                  <c:v>5629577.6869999999</c:v>
                </c:pt>
                <c:pt idx="2">
                  <c:v>6494916.4939999999</c:v>
                </c:pt>
                <c:pt idx="3">
                  <c:v>6577788.1320000002</c:v>
                </c:pt>
                <c:pt idx="4">
                  <c:v>6224048.9100000001</c:v>
                </c:pt>
                <c:pt idx="5">
                  <c:v>5687596.9620000003</c:v>
                </c:pt>
              </c:numCache>
            </c:numRef>
          </c:yVal>
        </c:ser>
        <c:ser>
          <c:idx val="1"/>
          <c:order val="1"/>
          <c:tx>
            <c:v>TW 65m</c:v>
          </c:tx>
          <c:marker>
            <c:symbol val="none"/>
          </c:marker>
          <c:xVal>
            <c:numRef>
              <c:f>Sheet1!$H$26:$H$31</c:f>
              <c:numCache>
                <c:formatCode>General</c:formatCode>
                <c:ptCount val="6"/>
                <c:pt idx="0">
                  <c:v>7</c:v>
                </c:pt>
                <c:pt idx="1">
                  <c:v>9</c:v>
                </c:pt>
                <c:pt idx="2">
                  <c:v>11</c:v>
                </c:pt>
                <c:pt idx="3">
                  <c:v>13</c:v>
                </c:pt>
                <c:pt idx="4">
                  <c:v>15</c:v>
                </c:pt>
                <c:pt idx="5">
                  <c:v>17</c:v>
                </c:pt>
              </c:numCache>
            </c:numRef>
          </c:xVal>
          <c:yVal>
            <c:numRef>
              <c:f>Sheet1!$J$26:$J$31</c:f>
              <c:numCache>
                <c:formatCode>General</c:formatCode>
                <c:ptCount val="6"/>
                <c:pt idx="0">
                  <c:v>3611106.7390000001</c:v>
                </c:pt>
                <c:pt idx="1">
                  <c:v>5424739.7139999997</c:v>
                </c:pt>
                <c:pt idx="2">
                  <c:v>6317175.7609999999</c:v>
                </c:pt>
                <c:pt idx="3">
                  <c:v>6429415.5810000002</c:v>
                </c:pt>
                <c:pt idx="4">
                  <c:v>6101158.3859999999</c:v>
                </c:pt>
                <c:pt idx="5">
                  <c:v>5585400.9709999999</c:v>
                </c:pt>
              </c:numCache>
            </c:numRef>
          </c:yVal>
        </c:ser>
        <c:ser>
          <c:idx val="2"/>
          <c:order val="2"/>
          <c:tx>
            <c:v>TW 77m</c:v>
          </c:tx>
          <c:marker>
            <c:symbol val="none"/>
          </c:marker>
          <c:xVal>
            <c:numRef>
              <c:f>Sheet1!$H$26:$H$31</c:f>
              <c:numCache>
                <c:formatCode>General</c:formatCode>
                <c:ptCount val="6"/>
                <c:pt idx="0">
                  <c:v>7</c:v>
                </c:pt>
                <c:pt idx="1">
                  <c:v>9</c:v>
                </c:pt>
                <c:pt idx="2">
                  <c:v>11</c:v>
                </c:pt>
                <c:pt idx="3">
                  <c:v>13</c:v>
                </c:pt>
                <c:pt idx="4">
                  <c:v>15</c:v>
                </c:pt>
                <c:pt idx="5">
                  <c:v>17</c:v>
                </c:pt>
              </c:numCache>
            </c:numRef>
          </c:xVal>
          <c:yVal>
            <c:numRef>
              <c:f>Sheet1!$K$26:$K$31</c:f>
              <c:numCache>
                <c:formatCode>General</c:formatCode>
                <c:ptCount val="6"/>
                <c:pt idx="0">
                  <c:v>4659521.3600000003</c:v>
                </c:pt>
                <c:pt idx="1">
                  <c:v>6517433.3590000002</c:v>
                </c:pt>
                <c:pt idx="2">
                  <c:v>7296495.932</c:v>
                </c:pt>
                <c:pt idx="3">
                  <c:v>7262779.4479999999</c:v>
                </c:pt>
                <c:pt idx="4">
                  <c:v>6800002.4419999998</c:v>
                </c:pt>
                <c:pt idx="5">
                  <c:v>6171497.0829999996</c:v>
                </c:pt>
              </c:numCache>
            </c:numRef>
          </c:yVal>
        </c:ser>
        <c:axId val="96241152"/>
        <c:axId val="93122560"/>
      </c:scatterChart>
      <c:valAx>
        <c:axId val="96241152"/>
        <c:scaling>
          <c:orientation val="minMax"/>
        </c:scaling>
        <c:axPos val="b"/>
        <c:title>
          <c:tx>
            <c:rich>
              <a:bodyPr/>
              <a:lstStyle/>
              <a:p>
                <a:pPr>
                  <a:defRPr/>
                </a:pPr>
                <a:r>
                  <a:rPr lang="en-US"/>
                  <a:t>vsr[m/s]</a:t>
                </a:r>
                <a:endParaRPr lang="bs-Latn-BA"/>
              </a:p>
            </c:rich>
          </c:tx>
          <c:layout/>
        </c:title>
        <c:numFmt formatCode="General" sourceLinked="1"/>
        <c:tickLblPos val="nextTo"/>
        <c:crossAx val="93122560"/>
        <c:crosses val="autoZero"/>
        <c:crossBetween val="midCat"/>
      </c:valAx>
      <c:valAx>
        <c:axId val="93122560"/>
        <c:scaling>
          <c:orientation val="minMax"/>
        </c:scaling>
        <c:axPos val="l"/>
        <c:majorGridlines/>
        <c:title>
          <c:tx>
            <c:rich>
              <a:bodyPr rot="-5400000" vert="horz"/>
              <a:lstStyle/>
              <a:p>
                <a:pPr>
                  <a:defRPr/>
                </a:pPr>
                <a:r>
                  <a:rPr lang="en-US"/>
                  <a:t>W[kWh]</a:t>
                </a:r>
                <a:endParaRPr lang="bs-Latn-BA"/>
              </a:p>
            </c:rich>
          </c:tx>
          <c:layout/>
        </c:title>
        <c:numFmt formatCode="General" sourceLinked="1"/>
        <c:tickLblPos val="nextTo"/>
        <c:crossAx val="96241152"/>
        <c:crosses val="autoZero"/>
        <c:crossBetween val="midCat"/>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161925</xdr:colOff>
      <xdr:row>0</xdr:row>
      <xdr:rowOff>47625</xdr:rowOff>
    </xdr:from>
    <xdr:to>
      <xdr:col>20</xdr:col>
      <xdr:colOff>123825</xdr:colOff>
      <xdr:row>16</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219075</xdr:colOff>
      <xdr:row>17</xdr:row>
      <xdr:rowOff>76200</xdr:rowOff>
    </xdr:from>
    <xdr:to>
      <xdr:col>20</xdr:col>
      <xdr:colOff>142875</xdr:colOff>
      <xdr:row>26</xdr:row>
      <xdr:rowOff>9526</xdr:rowOff>
    </xdr:to>
    <xdr:sp macro="" textlink="">
      <xdr:nvSpPr>
        <xdr:cNvPr id="3" name="TextBox 2"/>
        <xdr:cNvSpPr txBox="1"/>
      </xdr:nvSpPr>
      <xdr:spPr>
        <a:xfrm>
          <a:off x="10325100" y="3314700"/>
          <a:ext cx="3581400" cy="1647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Sva tri tipa agregata imaju</a:t>
          </a:r>
          <a:r>
            <a:rPr lang="en-US" sz="1100" baseline="0"/>
            <a:t> </a:t>
          </a:r>
          <a:r>
            <a:rPr lang="en-US" sz="1100" i="1" baseline="0"/>
            <a:t>pitch </a:t>
          </a:r>
          <a:r>
            <a:rPr lang="en-US" sz="1100" i="0" baseline="0"/>
            <a:t>tip regulacije jer po dostizanju nominalne snage snaga ostaje konstantna i pri vecim brzinama. Primjecujemo da agregat TW 1.5 1500kW 77m najbrze povecava snagu pri rastu brzine dok agregat TW 1.5 1500kW 65m ima najsporiji rast snage. Takodje, TW 1.5 1500 kW 77m pri najnizoj brzini dostize nominalnu snagu pa se moze ocekivati da ovaj agregat ima najvecu godisnju proizvodnju.Tome doprinose i najvece dimenzije lopatica, duzine 77m.</a:t>
          </a:r>
          <a:endParaRPr lang="bs-Latn-BA" sz="1100"/>
        </a:p>
      </xdr:txBody>
    </xdr:sp>
    <xdr:clientData/>
  </xdr:twoCellAnchor>
  <xdr:twoCellAnchor>
    <xdr:from>
      <xdr:col>2</xdr:col>
      <xdr:colOff>104775</xdr:colOff>
      <xdr:row>34</xdr:row>
      <xdr:rowOff>152400</xdr:rowOff>
    </xdr:from>
    <xdr:to>
      <xdr:col>6</xdr:col>
      <xdr:colOff>600075</xdr:colOff>
      <xdr:row>40</xdr:row>
      <xdr:rowOff>180975</xdr:rowOff>
    </xdr:to>
    <xdr:sp macro="" textlink="">
      <xdr:nvSpPr>
        <xdr:cNvPr id="4" name="TextBox 3"/>
        <xdr:cNvSpPr txBox="1"/>
      </xdr:nvSpPr>
      <xdr:spPr>
        <a:xfrm>
          <a:off x="2038350" y="6629400"/>
          <a:ext cx="3286125" cy="1171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Najvecu godisnju proizvodnju energije ima TW 1.5 1500 kW 77 m u</a:t>
          </a:r>
          <a:r>
            <a:rPr lang="en-US" sz="1100" baseline="0"/>
            <a:t> iznosu od 6,52 GWh.  </a:t>
          </a:r>
          <a:br>
            <a:rPr lang="en-US" sz="1100" baseline="0"/>
          </a:br>
          <a:r>
            <a:rPr lang="en-US" sz="1100" baseline="0"/>
            <a:t>Najveci stepen iskoristenja jednak 27,33 % ima agregat Enercon E66 1500 kW 66 m. </a:t>
          </a:r>
          <a:endParaRPr lang="en-US" sz="1100"/>
        </a:p>
      </xdr:txBody>
    </xdr:sp>
    <xdr:clientData/>
  </xdr:twoCellAnchor>
  <xdr:twoCellAnchor>
    <xdr:from>
      <xdr:col>2</xdr:col>
      <xdr:colOff>133351</xdr:colOff>
      <xdr:row>23</xdr:row>
      <xdr:rowOff>180975</xdr:rowOff>
    </xdr:from>
    <xdr:to>
      <xdr:col>6</xdr:col>
      <xdr:colOff>523876</xdr:colOff>
      <xdr:row>32</xdr:row>
      <xdr:rowOff>85725</xdr:rowOff>
    </xdr:to>
    <xdr:sp macro="" textlink="">
      <xdr:nvSpPr>
        <xdr:cNvPr id="5" name="TextBox 4"/>
        <xdr:cNvSpPr txBox="1"/>
      </xdr:nvSpPr>
      <xdr:spPr>
        <a:xfrm>
          <a:off x="2066926" y="4562475"/>
          <a:ext cx="3181350"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Za dobijanje zavisnosti  godisnje proizvodnje sva</a:t>
          </a:r>
          <a:r>
            <a:rPr lang="en-US" sz="1100" baseline="0"/>
            <a:t> tri agregata od srednje brzine, formiramo tabelu desno od ovog teksta.  Unosom brzine u polje B24 dobijamo vrijednosti u poljima B36, B37 i B38 koje je potrebno prepisati u novu tabelu.</a:t>
          </a:r>
          <a:endParaRPr lang="bs-Latn-BA" sz="1100"/>
        </a:p>
      </xdr:txBody>
    </xdr:sp>
    <xdr:clientData/>
  </xdr:twoCellAnchor>
  <xdr:twoCellAnchor>
    <xdr:from>
      <xdr:col>7</xdr:col>
      <xdr:colOff>9525</xdr:colOff>
      <xdr:row>32</xdr:row>
      <xdr:rowOff>114299</xdr:rowOff>
    </xdr:from>
    <xdr:to>
      <xdr:col>14</xdr:col>
      <xdr:colOff>523875</xdr:colOff>
      <xdr:row>50</xdr:row>
      <xdr:rowOff>104774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R41"/>
  <sheetViews>
    <sheetView tabSelected="1" topLeftCell="A8" workbookViewId="0">
      <selection activeCell="D1" sqref="D1"/>
    </sheetView>
  </sheetViews>
  <sheetFormatPr defaultRowHeight="15"/>
  <cols>
    <col min="1" max="1" width="10.5703125" bestFit="1" customWidth="1"/>
    <col min="2" max="2" width="18.42578125" bestFit="1" customWidth="1"/>
    <col min="3" max="3" width="11.5703125" bestFit="1" customWidth="1"/>
    <col min="6" max="6" width="12" bestFit="1" customWidth="1"/>
    <col min="7" max="8" width="10.28515625" bestFit="1" customWidth="1"/>
    <col min="9" max="11" width="12" bestFit="1" customWidth="1"/>
    <col min="16" max="16" width="13.28515625" bestFit="1" customWidth="1"/>
    <col min="17" max="17" width="12.140625" bestFit="1" customWidth="1"/>
    <col min="18" max="18" width="13.140625" bestFit="1" customWidth="1"/>
  </cols>
  <sheetData>
    <row r="1" spans="1:10">
      <c r="A1" s="3" t="s">
        <v>0</v>
      </c>
      <c r="B1" s="4" t="s">
        <v>1</v>
      </c>
      <c r="C1" s="4" t="s">
        <v>2</v>
      </c>
      <c r="D1" s="5" t="s">
        <v>5</v>
      </c>
      <c r="E1" s="4" t="s">
        <v>5</v>
      </c>
      <c r="F1" s="2"/>
      <c r="G1" s="4"/>
      <c r="H1" s="2"/>
      <c r="I1" s="2"/>
      <c r="J1" s="2"/>
    </row>
    <row r="2" spans="1:10">
      <c r="A2" s="3"/>
      <c r="B2" s="4" t="s">
        <v>3</v>
      </c>
      <c r="C2" s="4">
        <v>1500</v>
      </c>
      <c r="D2" s="4">
        <v>1500</v>
      </c>
      <c r="E2" s="4">
        <v>1500</v>
      </c>
      <c r="F2" s="2"/>
      <c r="G2" s="2"/>
      <c r="H2" s="4"/>
      <c r="I2" s="2"/>
      <c r="J2" s="2"/>
    </row>
    <row r="3" spans="1:10">
      <c r="A3" s="3"/>
      <c r="B3" s="4" t="s">
        <v>4</v>
      </c>
      <c r="C3" s="4">
        <v>66</v>
      </c>
      <c r="D3" s="4">
        <v>65</v>
      </c>
      <c r="E3" s="4">
        <v>77</v>
      </c>
      <c r="F3" s="4" t="s">
        <v>9</v>
      </c>
      <c r="G3" s="4" t="s">
        <v>11</v>
      </c>
      <c r="H3" s="4" t="s">
        <v>12</v>
      </c>
      <c r="I3" s="4" t="s">
        <v>13</v>
      </c>
      <c r="J3" s="4" t="s">
        <v>21</v>
      </c>
    </row>
    <row r="4" spans="1:10">
      <c r="A4" s="6">
        <v>1</v>
      </c>
      <c r="B4" s="6"/>
      <c r="C4" s="6">
        <v>0</v>
      </c>
      <c r="D4" s="6">
        <v>0</v>
      </c>
      <c r="E4" s="7">
        <v>0</v>
      </c>
      <c r="F4" s="6">
        <f>WEIBULL(A4,$B$25,$B$26,FALSE)</f>
        <v>1.9205404417481874E-2</v>
      </c>
      <c r="G4" s="6">
        <f>C4*F4*$B$27</f>
        <v>0</v>
      </c>
      <c r="H4" s="6">
        <f>D4*F4*$B$27</f>
        <v>0</v>
      </c>
      <c r="I4" s="6">
        <f>E4*F4*$B$27</f>
        <v>0</v>
      </c>
      <c r="J4" s="6">
        <f>A4^3*F4</f>
        <v>1.9205404417481874E-2</v>
      </c>
    </row>
    <row r="5" spans="1:10">
      <c r="A5" s="6">
        <v>2</v>
      </c>
      <c r="B5" s="6"/>
      <c r="C5" s="7">
        <v>0</v>
      </c>
      <c r="D5" s="6">
        <v>0</v>
      </c>
      <c r="E5" s="7">
        <v>0</v>
      </c>
      <c r="F5" s="6">
        <f t="shared" ref="F5:F22" si="0">WEIBULL(A5,$B$25,$B$26,FALSE)</f>
        <v>3.7309579016236799E-2</v>
      </c>
      <c r="G5" s="6">
        <f t="shared" ref="G5:G22" si="1">C5*F5*$B$27</f>
        <v>0</v>
      </c>
      <c r="H5" s="6">
        <f t="shared" ref="H5:H22" si="2">D5*F5*$B$27</f>
        <v>0</v>
      </c>
      <c r="I5" s="6">
        <f t="shared" ref="I5:I22" si="3">E5*F5*$B$27</f>
        <v>0</v>
      </c>
      <c r="J5" s="6">
        <f t="shared" ref="J5:J22" si="4">A5^3*F5</f>
        <v>0.29847663212989439</v>
      </c>
    </row>
    <row r="6" spans="1:10">
      <c r="A6" s="6">
        <v>3</v>
      </c>
      <c r="B6" s="6"/>
      <c r="C6" s="7">
        <v>1.8</v>
      </c>
      <c r="D6" s="6">
        <v>0</v>
      </c>
      <c r="E6" s="7">
        <v>4</v>
      </c>
      <c r="F6" s="6">
        <f t="shared" si="0"/>
        <v>5.3315861963582123E-2</v>
      </c>
      <c r="G6" s="6">
        <f t="shared" si="1"/>
        <v>840.68451144176288</v>
      </c>
      <c r="H6" s="6">
        <f t="shared" si="2"/>
        <v>0</v>
      </c>
      <c r="I6" s="6">
        <f t="shared" si="3"/>
        <v>1868.1878032039176</v>
      </c>
      <c r="J6" s="6">
        <f t="shared" si="4"/>
        <v>1.4395282730167174</v>
      </c>
    </row>
    <row r="7" spans="1:10">
      <c r="A7" s="6">
        <v>4</v>
      </c>
      <c r="B7" s="6"/>
      <c r="C7" s="7">
        <v>30.1</v>
      </c>
      <c r="D7" s="6">
        <v>12</v>
      </c>
      <c r="E7" s="7">
        <v>35</v>
      </c>
      <c r="F7" s="6">
        <f t="shared" si="0"/>
        <v>6.6422914785609799E-2</v>
      </c>
      <c r="G7" s="6">
        <f t="shared" si="1"/>
        <v>17514.128479010451</v>
      </c>
      <c r="H7" s="6">
        <f t="shared" si="2"/>
        <v>6982.3768022633021</v>
      </c>
      <c r="I7" s="6">
        <f t="shared" si="3"/>
        <v>20365.265673267964</v>
      </c>
      <c r="J7" s="6">
        <f t="shared" si="4"/>
        <v>4.2510665462790271</v>
      </c>
    </row>
    <row r="8" spans="1:10">
      <c r="A8" s="6">
        <v>5</v>
      </c>
      <c r="B8" s="6"/>
      <c r="C8" s="7">
        <v>89.3</v>
      </c>
      <c r="D8" s="6">
        <v>74</v>
      </c>
      <c r="E8" s="7">
        <v>116</v>
      </c>
      <c r="F8" s="6">
        <f t="shared" si="0"/>
        <v>7.6090183481983195E-2</v>
      </c>
      <c r="G8" s="6">
        <f t="shared" si="1"/>
        <v>59522.915652084026</v>
      </c>
      <c r="H8" s="6">
        <f t="shared" si="2"/>
        <v>49324.700540360784</v>
      </c>
      <c r="I8" s="6">
        <f t="shared" si="3"/>
        <v>77319.800847052044</v>
      </c>
      <c r="J8" s="6">
        <f t="shared" si="4"/>
        <v>9.5112729352478986</v>
      </c>
    </row>
    <row r="9" spans="1:10">
      <c r="A9" s="6">
        <v>6</v>
      </c>
      <c r="B9" s="6"/>
      <c r="C9" s="7">
        <v>172.5</v>
      </c>
      <c r="D9" s="6">
        <v>157</v>
      </c>
      <c r="E9" s="7">
        <v>235</v>
      </c>
      <c r="F9" s="6">
        <f t="shared" si="0"/>
        <v>8.20707679297768E-2</v>
      </c>
      <c r="G9" s="6">
        <f t="shared" si="1"/>
        <v>124017.13741868571</v>
      </c>
      <c r="H9" s="6">
        <f t="shared" si="2"/>
        <v>112873.56854918064</v>
      </c>
      <c r="I9" s="6">
        <f t="shared" si="3"/>
        <v>168950.88286023852</v>
      </c>
      <c r="J9" s="6">
        <f t="shared" si="4"/>
        <v>17.727285872831789</v>
      </c>
    </row>
    <row r="10" spans="1:10">
      <c r="A10" s="6">
        <v>7</v>
      </c>
      <c r="B10" s="6"/>
      <c r="C10" s="7">
        <v>296</v>
      </c>
      <c r="D10" s="6">
        <v>266</v>
      </c>
      <c r="E10" s="7">
        <v>395</v>
      </c>
      <c r="F10" s="6">
        <f t="shared" si="0"/>
        <v>8.4409599038408459E-2</v>
      </c>
      <c r="G10" s="6">
        <f t="shared" si="1"/>
        <v>218870.71392263158</v>
      </c>
      <c r="H10" s="6">
        <f t="shared" si="2"/>
        <v>196687.87129533786</v>
      </c>
      <c r="I10" s="6">
        <f t="shared" si="3"/>
        <v>292074.09459270095</v>
      </c>
      <c r="J10" s="6">
        <f t="shared" si="4"/>
        <v>28.9524924701741</v>
      </c>
    </row>
    <row r="11" spans="1:10">
      <c r="A11" s="6">
        <v>8</v>
      </c>
      <c r="B11" s="6"/>
      <c r="C11" s="7">
        <v>447</v>
      </c>
      <c r="D11" s="6">
        <v>407</v>
      </c>
      <c r="E11" s="7">
        <v>595</v>
      </c>
      <c r="F11" s="6">
        <f t="shared" si="0"/>
        <v>8.3410027751089258E-2</v>
      </c>
      <c r="G11" s="6">
        <f t="shared" si="1"/>
        <v>326610.31386549526</v>
      </c>
      <c r="H11" s="6">
        <f t="shared" si="2"/>
        <v>297383.44014151354</v>
      </c>
      <c r="I11" s="6">
        <f t="shared" si="3"/>
        <v>434749.74664422742</v>
      </c>
      <c r="J11" s="6">
        <f t="shared" si="4"/>
        <v>42.7059342085577</v>
      </c>
    </row>
    <row r="12" spans="1:10">
      <c r="A12" s="6">
        <v>9</v>
      </c>
      <c r="B12" s="6"/>
      <c r="C12" s="7">
        <v>648</v>
      </c>
      <c r="D12" s="6">
        <v>600</v>
      </c>
      <c r="E12" s="7">
        <v>890</v>
      </c>
      <c r="F12" s="6">
        <f t="shared" si="0"/>
        <v>7.9576200724429683E-2</v>
      </c>
      <c r="G12" s="6">
        <f t="shared" si="1"/>
        <v>451712.71188821062</v>
      </c>
      <c r="H12" s="6">
        <f t="shared" si="2"/>
        <v>418252.51100760244</v>
      </c>
      <c r="I12" s="6">
        <f t="shared" si="3"/>
        <v>620407.89132794354</v>
      </c>
      <c r="J12" s="6">
        <f t="shared" si="4"/>
        <v>58.011050328109242</v>
      </c>
    </row>
    <row r="13" spans="1:10">
      <c r="A13" s="6">
        <v>10</v>
      </c>
      <c r="B13" s="6"/>
      <c r="C13" s="7">
        <v>877</v>
      </c>
      <c r="D13" s="6">
        <v>822</v>
      </c>
      <c r="E13" s="7">
        <v>1210</v>
      </c>
      <c r="F13" s="6">
        <f t="shared" si="0"/>
        <v>7.3541254518233248E-2</v>
      </c>
      <c r="G13" s="6">
        <f t="shared" si="1"/>
        <v>564982.15866141731</v>
      </c>
      <c r="H13" s="6">
        <f t="shared" si="2"/>
        <v>529549.98223453248</v>
      </c>
      <c r="I13" s="6">
        <f t="shared" si="3"/>
        <v>779507.88139146508</v>
      </c>
      <c r="J13" s="6">
        <f t="shared" si="4"/>
        <v>73.541254518233245</v>
      </c>
    </row>
    <row r="14" spans="1:10">
      <c r="A14" s="6">
        <v>11</v>
      </c>
      <c r="B14" s="6"/>
      <c r="C14" s="7">
        <v>1122</v>
      </c>
      <c r="D14" s="6">
        <v>1054</v>
      </c>
      <c r="E14" s="7">
        <v>1400</v>
      </c>
      <c r="F14" s="6">
        <f t="shared" si="0"/>
        <v>6.5992106767944009E-2</v>
      </c>
      <c r="G14" s="6">
        <f t="shared" si="1"/>
        <v>648617.9396322266</v>
      </c>
      <c r="H14" s="6">
        <f t="shared" si="2"/>
        <v>609307.76147269772</v>
      </c>
      <c r="I14" s="6">
        <f t="shared" si="3"/>
        <v>809327.19740206527</v>
      </c>
      <c r="J14" s="6">
        <f t="shared" si="4"/>
        <v>87.835494108133474</v>
      </c>
    </row>
    <row r="15" spans="1:10">
      <c r="A15" s="6">
        <v>12</v>
      </c>
      <c r="B15" s="6"/>
      <c r="C15" s="7">
        <v>1337</v>
      </c>
      <c r="D15" s="6">
        <v>1285</v>
      </c>
      <c r="E15" s="7">
        <v>1500</v>
      </c>
      <c r="F15" s="6">
        <f t="shared" si="0"/>
        <v>5.7600567063205842E-2</v>
      </c>
      <c r="G15" s="6">
        <f t="shared" si="1"/>
        <v>674624.7535123144</v>
      </c>
      <c r="H15" s="6">
        <f t="shared" si="2"/>
        <v>648386.54320368287</v>
      </c>
      <c r="I15" s="6">
        <f t="shared" si="3"/>
        <v>756871.45121052477</v>
      </c>
      <c r="J15" s="6">
        <f t="shared" si="4"/>
        <v>99.533779885219701</v>
      </c>
    </row>
    <row r="16" spans="1:10">
      <c r="A16" s="6">
        <v>13</v>
      </c>
      <c r="B16" s="6"/>
      <c r="C16" s="7">
        <v>1468</v>
      </c>
      <c r="D16" s="6">
        <v>1500</v>
      </c>
      <c r="E16" s="7">
        <v>1500</v>
      </c>
      <c r="F16" s="6">
        <f t="shared" si="0"/>
        <v>4.8968071533633285E-2</v>
      </c>
      <c r="G16" s="6">
        <f t="shared" si="1"/>
        <v>629713.73013963329</v>
      </c>
      <c r="H16" s="6">
        <f t="shared" si="2"/>
        <v>643440.45995194139</v>
      </c>
      <c r="I16" s="6">
        <f t="shared" si="3"/>
        <v>643440.45995194139</v>
      </c>
      <c r="J16" s="6">
        <f t="shared" si="4"/>
        <v>107.58285315939233</v>
      </c>
    </row>
    <row r="17" spans="1:18">
      <c r="A17" s="6">
        <v>14</v>
      </c>
      <c r="B17" s="6"/>
      <c r="C17" s="7">
        <v>1500</v>
      </c>
      <c r="D17" s="6">
        <v>1500</v>
      </c>
      <c r="E17" s="7">
        <v>1500</v>
      </c>
      <c r="F17" s="6">
        <f t="shared" si="0"/>
        <v>4.0588196180217806E-2</v>
      </c>
      <c r="G17" s="6">
        <f t="shared" si="1"/>
        <v>533328.89780806203</v>
      </c>
      <c r="H17" s="6">
        <f t="shared" si="2"/>
        <v>533328.89780806203</v>
      </c>
      <c r="I17" s="6">
        <f t="shared" si="3"/>
        <v>533328.89780806203</v>
      </c>
      <c r="J17" s="6">
        <f t="shared" si="4"/>
        <v>111.37401031851766</v>
      </c>
    </row>
    <row r="18" spans="1:18">
      <c r="A18" s="6">
        <v>15</v>
      </c>
      <c r="B18" s="6"/>
      <c r="C18" s="7">
        <v>1500</v>
      </c>
      <c r="D18" s="6">
        <v>1500</v>
      </c>
      <c r="E18" s="7">
        <v>1500</v>
      </c>
      <c r="F18" s="6">
        <f t="shared" si="0"/>
        <v>3.2827890159253588E-2</v>
      </c>
      <c r="G18" s="6">
        <f t="shared" si="1"/>
        <v>431358.47669259214</v>
      </c>
      <c r="H18" s="6">
        <f t="shared" si="2"/>
        <v>431358.47669259214</v>
      </c>
      <c r="I18" s="6">
        <f t="shared" si="3"/>
        <v>431358.47669259214</v>
      </c>
      <c r="J18" s="6">
        <f t="shared" si="4"/>
        <v>110.79412928748086</v>
      </c>
    </row>
    <row r="19" spans="1:18">
      <c r="A19" s="6">
        <v>16</v>
      </c>
      <c r="B19" s="6"/>
      <c r="C19" s="7">
        <v>1500</v>
      </c>
      <c r="D19" s="6">
        <v>1500</v>
      </c>
      <c r="E19" s="7">
        <v>1500</v>
      </c>
      <c r="F19" s="6">
        <f t="shared" si="0"/>
        <v>2.5925648196407833E-2</v>
      </c>
      <c r="G19" s="6">
        <f t="shared" si="1"/>
        <v>340663.01730079897</v>
      </c>
      <c r="H19" s="6">
        <f t="shared" si="2"/>
        <v>340663.01730079897</v>
      </c>
      <c r="I19" s="6">
        <f t="shared" si="3"/>
        <v>340663.01730079897</v>
      </c>
      <c r="J19" s="6">
        <f t="shared" si="4"/>
        <v>106.19145501248649</v>
      </c>
    </row>
    <row r="20" spans="1:18">
      <c r="A20" s="6">
        <v>17</v>
      </c>
      <c r="B20" s="6"/>
      <c r="C20" s="7">
        <v>1500</v>
      </c>
      <c r="D20" s="6">
        <v>1500</v>
      </c>
      <c r="E20" s="7">
        <v>1500</v>
      </c>
      <c r="F20" s="6">
        <f t="shared" si="0"/>
        <v>2.0002967131287182E-2</v>
      </c>
      <c r="G20" s="6">
        <f t="shared" si="1"/>
        <v>262838.98810511356</v>
      </c>
      <c r="H20" s="6">
        <f t="shared" si="2"/>
        <v>262838.98810511356</v>
      </c>
      <c r="I20" s="6">
        <f t="shared" si="3"/>
        <v>262838.98810511356</v>
      </c>
      <c r="J20" s="6">
        <f t="shared" si="4"/>
        <v>98.274577516013935</v>
      </c>
    </row>
    <row r="21" spans="1:18">
      <c r="A21" s="6">
        <v>18</v>
      </c>
      <c r="B21" s="6"/>
      <c r="C21" s="7">
        <v>1500</v>
      </c>
      <c r="D21" s="6">
        <v>1500</v>
      </c>
      <c r="E21" s="7">
        <v>1500</v>
      </c>
      <c r="F21" s="6">
        <f t="shared" si="0"/>
        <v>1.5084530414578853E-2</v>
      </c>
      <c r="G21" s="6">
        <f t="shared" si="1"/>
        <v>198210.72964756613</v>
      </c>
      <c r="H21" s="6">
        <f t="shared" si="2"/>
        <v>198210.72964756613</v>
      </c>
      <c r="I21" s="6">
        <f t="shared" si="3"/>
        <v>198210.72964756613</v>
      </c>
      <c r="J21" s="6">
        <f t="shared" si="4"/>
        <v>87.972981377823871</v>
      </c>
    </row>
    <row r="22" spans="1:18">
      <c r="A22" s="6">
        <v>19</v>
      </c>
      <c r="B22" s="6"/>
      <c r="C22" s="7">
        <v>1500</v>
      </c>
      <c r="D22" s="6">
        <v>1500</v>
      </c>
      <c r="E22" s="7">
        <v>1500</v>
      </c>
      <c r="F22" s="6">
        <f t="shared" si="0"/>
        <v>1.1122556273493003E-2</v>
      </c>
      <c r="G22" s="6">
        <f t="shared" si="1"/>
        <v>146150.38943369806</v>
      </c>
      <c r="H22" s="6">
        <f t="shared" si="2"/>
        <v>146150.38943369806</v>
      </c>
      <c r="I22" s="6">
        <f t="shared" si="3"/>
        <v>146150.38943369806</v>
      </c>
      <c r="J22" s="6">
        <f t="shared" si="4"/>
        <v>76.289613479888502</v>
      </c>
    </row>
    <row r="24" spans="1:18">
      <c r="A24" s="4" t="s">
        <v>6</v>
      </c>
      <c r="B24" s="6">
        <v>9</v>
      </c>
    </row>
    <row r="25" spans="1:18">
      <c r="A25" s="4" t="s">
        <v>7</v>
      </c>
      <c r="B25" s="6">
        <v>2</v>
      </c>
      <c r="H25" s="4" t="s">
        <v>6</v>
      </c>
      <c r="I25" s="4" t="s">
        <v>14</v>
      </c>
      <c r="J25" s="4" t="s">
        <v>15</v>
      </c>
      <c r="K25" s="4" t="s">
        <v>16</v>
      </c>
    </row>
    <row r="26" spans="1:18">
      <c r="A26" s="4" t="s">
        <v>8</v>
      </c>
      <c r="B26" s="6">
        <f>2*B24/SQRT(3.14159)</f>
        <v>10.155416792817318</v>
      </c>
      <c r="H26" s="6">
        <v>7</v>
      </c>
      <c r="I26" s="6">
        <v>3820369</v>
      </c>
      <c r="J26" s="6">
        <v>3611106.7390000001</v>
      </c>
      <c r="K26" s="6">
        <v>4659521.3600000003</v>
      </c>
    </row>
    <row r="27" spans="1:18">
      <c r="A27" s="4" t="s">
        <v>10</v>
      </c>
      <c r="B27" s="6">
        <v>8760</v>
      </c>
      <c r="H27" s="6">
        <v>9</v>
      </c>
      <c r="I27" s="6">
        <v>5629577.6869999999</v>
      </c>
      <c r="J27" s="6">
        <v>5424739.7139999997</v>
      </c>
      <c r="K27" s="6">
        <v>6517433.3590000002</v>
      </c>
    </row>
    <row r="28" spans="1:18">
      <c r="A28" s="4" t="s">
        <v>14</v>
      </c>
      <c r="B28" s="1">
        <f>SUM(G4:G22)</f>
        <v>5629577.6866709813</v>
      </c>
      <c r="H28" s="6">
        <v>11</v>
      </c>
      <c r="I28" s="6">
        <v>6494916.4939999999</v>
      </c>
      <c r="J28" s="6">
        <v>6317175.7609999999</v>
      </c>
      <c r="K28" s="6">
        <v>7296495.932</v>
      </c>
      <c r="Q28" s="4" t="s">
        <v>32</v>
      </c>
      <c r="R28" s="4" t="s">
        <v>33</v>
      </c>
    </row>
    <row r="29" spans="1:18">
      <c r="A29" s="4" t="s">
        <v>15</v>
      </c>
      <c r="B29" s="1">
        <f>SUM(H4:H22)</f>
        <v>5424739.7141869441</v>
      </c>
      <c r="H29" s="6">
        <v>13</v>
      </c>
      <c r="I29" s="6">
        <v>6577788.1320000002</v>
      </c>
      <c r="J29" s="6">
        <v>6429415.5810000002</v>
      </c>
      <c r="K29" s="6">
        <v>7262779.4479999999</v>
      </c>
      <c r="P29" s="4" t="s">
        <v>29</v>
      </c>
      <c r="Q29" s="1">
        <v>12.2323</v>
      </c>
      <c r="R29" s="6">
        <v>6615586.1390000004</v>
      </c>
    </row>
    <row r="30" spans="1:18">
      <c r="A30" s="4" t="s">
        <v>16</v>
      </c>
      <c r="B30" s="1">
        <f>SUM(I4:I22)</f>
        <v>6517433.3586924607</v>
      </c>
      <c r="H30" s="6">
        <v>15</v>
      </c>
      <c r="I30" s="6">
        <v>6224048.9100000001</v>
      </c>
      <c r="J30" s="6">
        <v>6101158.3859999999</v>
      </c>
      <c r="K30" s="6">
        <v>6800002.4419999998</v>
      </c>
      <c r="P30" s="4" t="s">
        <v>30</v>
      </c>
      <c r="Q30" s="1">
        <v>12.3383</v>
      </c>
      <c r="R30" s="6">
        <v>6457015.8859999999</v>
      </c>
    </row>
    <row r="31" spans="1:18">
      <c r="A31" s="4" t="s">
        <v>17</v>
      </c>
      <c r="B31" s="6">
        <f>C3^2*3.14159/4</f>
        <v>3421.1915099999997</v>
      </c>
      <c r="H31" s="6">
        <v>17</v>
      </c>
      <c r="I31" s="6">
        <v>5687596.9620000003</v>
      </c>
      <c r="J31" s="6">
        <v>5585400.9709999999</v>
      </c>
      <c r="K31" s="6">
        <v>6171497.0829999996</v>
      </c>
      <c r="P31" s="4" t="s">
        <v>31</v>
      </c>
      <c r="Q31" s="1">
        <v>11.8369</v>
      </c>
      <c r="R31" s="6">
        <v>7357491.5659999996</v>
      </c>
    </row>
    <row r="32" spans="1:18">
      <c r="A32" s="4" t="s">
        <v>18</v>
      </c>
      <c r="B32" s="6">
        <f>D3^2*3.14159/4</f>
        <v>3318.3044374999999</v>
      </c>
    </row>
    <row r="33" spans="1:2">
      <c r="A33" s="4" t="s">
        <v>19</v>
      </c>
      <c r="B33" s="6">
        <f>E3^2*3.14159/4</f>
        <v>4656.6217774999996</v>
      </c>
    </row>
    <row r="34" spans="1:2">
      <c r="A34" s="4" t="s">
        <v>20</v>
      </c>
      <c r="B34" s="6">
        <f>(SUM(J4:J22))^(1/3)</f>
        <v>10.392112057976769</v>
      </c>
    </row>
    <row r="35" spans="1:2">
      <c r="A35" s="4" t="s">
        <v>22</v>
      </c>
      <c r="B35" s="6">
        <f>0.5*1.225*B34^3</f>
        <v>687.41270756704637</v>
      </c>
    </row>
    <row r="36" spans="1:2">
      <c r="A36" s="4" t="s">
        <v>23</v>
      </c>
      <c r="B36" s="6">
        <f>B35*B31*$B$27/1000</f>
        <v>20601509.746391747</v>
      </c>
    </row>
    <row r="37" spans="1:2">
      <c r="A37" s="4" t="s">
        <v>24</v>
      </c>
      <c r="B37" s="6">
        <f>B35*B32*$B$27/1000</f>
        <v>19981951.028123308</v>
      </c>
    </row>
    <row r="38" spans="1:2">
      <c r="A38" s="4" t="s">
        <v>25</v>
      </c>
      <c r="B38" s="6">
        <f>B35*B33*B27/1000</f>
        <v>28040943.821477655</v>
      </c>
    </row>
    <row r="39" spans="1:2">
      <c r="A39" s="4" t="s">
        <v>26</v>
      </c>
      <c r="B39" s="8">
        <f>B28/B36</f>
        <v>0.27326044333508004</v>
      </c>
    </row>
    <row r="40" spans="1:2">
      <c r="A40" s="4" t="s">
        <v>27</v>
      </c>
      <c r="B40" s="8">
        <f>B29/B37</f>
        <v>0.27148198424427988</v>
      </c>
    </row>
    <row r="41" spans="1:2">
      <c r="A41" s="4" t="s">
        <v>28</v>
      </c>
      <c r="B41" s="8">
        <f>B30/B38</f>
        <v>0.23242560593486528</v>
      </c>
    </row>
  </sheetData>
  <mergeCells count="1">
    <mergeCell ref="A1: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2020-07-08T16:13:17Z</dcterms:created>
  <dcterms:modified xsi:type="dcterms:W3CDTF">2020-07-08T17:07:49Z</dcterms:modified>
</cp:coreProperties>
</file>