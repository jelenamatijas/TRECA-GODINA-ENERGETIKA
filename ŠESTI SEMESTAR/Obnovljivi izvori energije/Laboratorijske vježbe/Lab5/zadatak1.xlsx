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35" windowWidth="23955" windowHeight="9780"/>
  </bookViews>
  <sheets>
    <sheet name="Sheet1" sheetId="1" r:id="rId1"/>
    <sheet name="Sheet2" sheetId="2" r:id="rId2"/>
    <sheet name="Sheet3" sheetId="3" r:id="rId3"/>
  </sheets>
  <calcPr calcId="125725"/>
</workbook>
</file>

<file path=xl/calcChain.xml><?xml version="1.0" encoding="utf-8"?>
<calcChain xmlns="http://schemas.openxmlformats.org/spreadsheetml/2006/main">
  <c r="P4" i="1"/>
  <c r="P5" s="1"/>
  <c r="M3"/>
  <c r="M4"/>
  <c r="M5"/>
  <c r="M6"/>
  <c r="M7"/>
  <c r="M8"/>
  <c r="M9"/>
  <c r="M10"/>
  <c r="M11"/>
  <c r="M12"/>
  <c r="M13"/>
  <c r="M14"/>
  <c r="M15"/>
  <c r="M16"/>
  <c r="M17"/>
  <c r="M18"/>
  <c r="M19"/>
  <c r="M20"/>
  <c r="M21"/>
  <c r="M22"/>
  <c r="M23"/>
  <c r="M24"/>
  <c r="M25"/>
  <c r="M26"/>
  <c r="M27"/>
  <c r="M28"/>
  <c r="M29"/>
  <c r="M30"/>
  <c r="M31"/>
  <c r="M32"/>
  <c r="M33"/>
  <c r="M34"/>
  <c r="M35"/>
  <c r="M36"/>
  <c r="M37"/>
  <c r="M38"/>
  <c r="M39"/>
  <c r="M40"/>
  <c r="M41"/>
  <c r="M42"/>
  <c r="M2"/>
  <c r="L3"/>
  <c r="L4"/>
  <c r="L5"/>
  <c r="L6"/>
  <c r="L7"/>
  <c r="L8"/>
  <c r="L9"/>
  <c r="L10"/>
  <c r="L11"/>
  <c r="L12"/>
  <c r="L13"/>
  <c r="L14"/>
  <c r="L15"/>
  <c r="L16"/>
  <c r="L17"/>
  <c r="L18"/>
  <c r="L19"/>
  <c r="L20"/>
  <c r="L21"/>
  <c r="L22"/>
  <c r="L23"/>
  <c r="L24"/>
  <c r="L25"/>
  <c r="L26"/>
  <c r="L27"/>
  <c r="L28"/>
  <c r="L29"/>
  <c r="L30"/>
  <c r="L31"/>
  <c r="L32"/>
  <c r="L33"/>
  <c r="L34"/>
  <c r="L35"/>
  <c r="L36"/>
  <c r="L37"/>
  <c r="L38"/>
  <c r="L39"/>
  <c r="L40"/>
  <c r="L41"/>
  <c r="L42"/>
  <c r="L2"/>
  <c r="K10"/>
  <c r="K11"/>
  <c r="K12"/>
  <c r="K13"/>
  <c r="K14"/>
  <c r="K15"/>
  <c r="K16"/>
  <c r="K17"/>
  <c r="K18"/>
  <c r="K19"/>
  <c r="K20"/>
  <c r="K21"/>
  <c r="K22"/>
  <c r="K23"/>
  <c r="K24"/>
  <c r="K25"/>
  <c r="K26"/>
  <c r="K27"/>
  <c r="K28"/>
  <c r="K29"/>
  <c r="K30"/>
  <c r="K31"/>
  <c r="K32"/>
  <c r="K33"/>
  <c r="K34"/>
  <c r="K35"/>
  <c r="K36"/>
  <c r="K37"/>
  <c r="K38"/>
  <c r="K39"/>
  <c r="K40"/>
  <c r="K41"/>
  <c r="K42"/>
  <c r="K4"/>
  <c r="K5"/>
  <c r="K6"/>
  <c r="K7"/>
  <c r="K8"/>
  <c r="K9"/>
  <c r="K2"/>
  <c r="K3"/>
  <c r="I21"/>
  <c r="I22"/>
  <c r="I23"/>
  <c r="I24"/>
  <c r="I25"/>
  <c r="I26"/>
  <c r="I27"/>
  <c r="I28"/>
  <c r="I29"/>
  <c r="I30"/>
  <c r="I31"/>
  <c r="I32"/>
  <c r="I33"/>
  <c r="I34"/>
  <c r="I35"/>
  <c r="I3"/>
  <c r="I4"/>
  <c r="I5"/>
  <c r="I6"/>
  <c r="I7"/>
  <c r="I8"/>
  <c r="I9"/>
  <c r="I10"/>
  <c r="I11"/>
  <c r="I12"/>
  <c r="I13"/>
  <c r="I14"/>
  <c r="I15"/>
  <c r="I16"/>
  <c r="I17"/>
  <c r="I18"/>
  <c r="I19"/>
  <c r="I20"/>
  <c r="I2"/>
  <c r="H21"/>
  <c r="H22"/>
  <c r="H23"/>
  <c r="H24"/>
  <c r="H25"/>
  <c r="H26"/>
  <c r="H27"/>
  <c r="H28"/>
  <c r="H29"/>
  <c r="H30"/>
  <c r="H31"/>
  <c r="H32"/>
  <c r="H33"/>
  <c r="H34"/>
  <c r="H35"/>
  <c r="H3"/>
  <c r="H4"/>
  <c r="H5"/>
  <c r="H6"/>
  <c r="H7"/>
  <c r="H8"/>
  <c r="H9"/>
  <c r="H10"/>
  <c r="H11"/>
  <c r="H12"/>
  <c r="H13"/>
  <c r="H14"/>
  <c r="H15"/>
  <c r="H16"/>
  <c r="H17"/>
  <c r="H18"/>
  <c r="H19"/>
  <c r="H20"/>
  <c r="H2"/>
  <c r="G5"/>
  <c r="G6"/>
  <c r="G7"/>
  <c r="G8"/>
  <c r="G9"/>
  <c r="G10"/>
  <c r="G11"/>
  <c r="G12"/>
  <c r="G13"/>
  <c r="G14"/>
  <c r="G15"/>
  <c r="G16"/>
  <c r="G17"/>
  <c r="G18"/>
  <c r="G19"/>
  <c r="G20"/>
  <c r="G21"/>
  <c r="G22"/>
  <c r="G23"/>
  <c r="G24"/>
  <c r="G25"/>
  <c r="G26"/>
  <c r="G27"/>
  <c r="G28"/>
  <c r="G29"/>
  <c r="G30"/>
  <c r="G31"/>
  <c r="G32"/>
  <c r="G33"/>
  <c r="G34"/>
  <c r="G35"/>
  <c r="G3"/>
  <c r="G4"/>
  <c r="G2"/>
</calcChain>
</file>

<file path=xl/sharedStrings.xml><?xml version="1.0" encoding="utf-8"?>
<sst xmlns="http://schemas.openxmlformats.org/spreadsheetml/2006/main" count="25" uniqueCount="23">
  <si>
    <t xml:space="preserve">Podaci </t>
  </si>
  <si>
    <t>Gustina vazduha</t>
  </si>
  <si>
    <t>Pritisak</t>
  </si>
  <si>
    <t>M</t>
  </si>
  <si>
    <t>R</t>
  </si>
  <si>
    <t>kg/m3</t>
  </si>
  <si>
    <t>Pa</t>
  </si>
  <si>
    <t>g/mol</t>
  </si>
  <si>
    <t>J/molK</t>
  </si>
  <si>
    <t xml:space="preserve">T </t>
  </si>
  <si>
    <t>T(K)</t>
  </si>
  <si>
    <t>gustina vazduha</t>
  </si>
  <si>
    <t>koeicijent korekcije</t>
  </si>
  <si>
    <t>nadmorska visina</t>
  </si>
  <si>
    <t>g</t>
  </si>
  <si>
    <t>m/s2</t>
  </si>
  <si>
    <t>T</t>
  </si>
  <si>
    <t>K</t>
  </si>
  <si>
    <t>pritisak</t>
  </si>
  <si>
    <t>koeicijent korekcija</t>
  </si>
  <si>
    <t>h</t>
  </si>
  <si>
    <t>p</t>
  </si>
  <si>
    <t>gustina</t>
  </si>
</sst>
</file>

<file path=xl/styles.xml><?xml version="1.0" encoding="utf-8"?>
<styleSheet xmlns="http://schemas.openxmlformats.org/spreadsheetml/2006/main">
  <numFmts count="2">
    <numFmt numFmtId="164" formatCode="0.0000"/>
    <numFmt numFmtId="172" formatCode="0.000"/>
  </numFmts>
  <fonts count="1">
    <font>
      <sz val="11"/>
      <color theme="1"/>
      <name val="Calibri"/>
      <family val="2"/>
      <charset val="238"/>
      <scheme val="minor"/>
    </font>
  </fonts>
  <fills count="11">
    <fill>
      <patternFill patternType="none"/>
    </fill>
    <fill>
      <patternFill patternType="gray125"/>
    </fill>
    <fill>
      <patternFill patternType="solid">
        <fgColor rgb="FF00B05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00B0F0"/>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5"/>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applyAlignment="1">
      <alignment horizontal="center"/>
    </xf>
    <xf numFmtId="0" fontId="0" fillId="3" borderId="0" xfId="0" applyFill="1"/>
    <xf numFmtId="0" fontId="0" fillId="4" borderId="0" xfId="0" applyFill="1"/>
    <xf numFmtId="0" fontId="0" fillId="5" borderId="0" xfId="0" applyFill="1"/>
    <xf numFmtId="164" fontId="0" fillId="3" borderId="0" xfId="0" applyNumberFormat="1" applyFill="1"/>
    <xf numFmtId="0" fontId="0" fillId="6" borderId="0" xfId="0" applyFill="1"/>
    <xf numFmtId="0" fontId="0" fillId="7" borderId="0" xfId="0" applyFill="1"/>
    <xf numFmtId="1" fontId="0" fillId="6" borderId="0" xfId="0" applyNumberFormat="1" applyFill="1"/>
    <xf numFmtId="164" fontId="0" fillId="6" borderId="0" xfId="0" applyNumberFormat="1" applyFill="1"/>
    <xf numFmtId="0" fontId="0" fillId="8" borderId="0" xfId="0" applyFill="1"/>
    <xf numFmtId="0" fontId="0" fillId="9" borderId="0" xfId="0" applyFill="1"/>
    <xf numFmtId="172" fontId="0" fillId="3" borderId="0" xfId="0" applyNumberFormat="1" applyFill="1"/>
    <xf numFmtId="0" fontId="0" fillId="10" borderId="0" xfId="0" applyFill="1"/>
    <xf numFmtId="172" fontId="0" fillId="10" borderId="0" xfId="0" applyNumberForma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bs-Latn-BA"/>
  <c:chart>
    <c:plotArea>
      <c:layout>
        <c:manualLayout>
          <c:layoutTarget val="inner"/>
          <c:xMode val="edge"/>
          <c:yMode val="edge"/>
          <c:x val="0.10708573928258967"/>
          <c:y val="5.1400554097404488E-2"/>
          <c:w val="0.69626509186351704"/>
          <c:h val="0.8326195683872849"/>
        </c:manualLayout>
      </c:layout>
      <c:lineChart>
        <c:grouping val="standard"/>
        <c:ser>
          <c:idx val="0"/>
          <c:order val="0"/>
          <c:marker>
            <c:symbol val="none"/>
          </c:marker>
          <c:val>
            <c:numRef>
              <c:f>Sheet1!$H$2:$H$35</c:f>
              <c:numCache>
                <c:formatCode>0.000</c:formatCode>
                <c:ptCount val="34"/>
                <c:pt idx="0">
                  <c:v>1.4009956492838478</c:v>
                </c:pt>
                <c:pt idx="1">
                  <c:v>1.3899641874784632</c:v>
                </c:pt>
                <c:pt idx="2">
                  <c:v>1.3791050922637875</c:v>
                </c:pt>
                <c:pt idx="3">
                  <c:v>1.3684143551144561</c:v>
                </c:pt>
                <c:pt idx="4">
                  <c:v>1.3578880908443447</c:v>
                </c:pt>
                <c:pt idx="5">
                  <c:v>1.3475225328989682</c:v>
                </c:pt>
                <c:pt idx="6">
                  <c:v>1.3373140288618548</c:v>
                </c:pt>
                <c:pt idx="7">
                  <c:v>1.3272590361636454</c:v>
                </c:pt>
                <c:pt idx="8">
                  <c:v>1.3173541179833195</c:v>
                </c:pt>
                <c:pt idx="9">
                  <c:v>1.3075959393315915</c:v>
                </c:pt>
                <c:pt idx="10">
                  <c:v>1.2979812633070944</c:v>
                </c:pt>
                <c:pt idx="11">
                  <c:v>1.2885069475165314</c:v>
                </c:pt>
                <c:pt idx="12">
                  <c:v>1.27916994065047</c:v>
                </c:pt>
                <c:pt idx="13">
                  <c:v>1.2699672792069412</c:v>
                </c:pt>
                <c:pt idx="14">
                  <c:v>1.2608960843554631</c:v>
                </c:pt>
                <c:pt idx="15">
                  <c:v>1.2519535589345021</c:v>
                </c:pt>
                <c:pt idx="16">
                  <c:v>1.2431369845758087</c:v>
                </c:pt>
                <c:pt idx="17">
                  <c:v>1.2344437189494044</c:v>
                </c:pt>
                <c:pt idx="18">
                  <c:v>1.2258711931233668</c:v>
                </c:pt>
                <c:pt idx="19">
                  <c:v>1.217416909032861</c:v>
                </c:pt>
                <c:pt idx="20">
                  <c:v>1.2090784370531837</c:v>
                </c:pt>
                <c:pt idx="21">
                  <c:v>1.2008534136718694</c:v>
                </c:pt>
                <c:pt idx="22">
                  <c:v>1.1927395392551676</c:v>
                </c:pt>
                <c:pt idx="23">
                  <c:v>1.1847345759044621</c:v>
                </c:pt>
                <c:pt idx="24">
                  <c:v>1.1768363453984323</c:v>
                </c:pt>
                <c:pt idx="25">
                  <c:v>1.1690427272169857</c:v>
                </c:pt>
                <c:pt idx="26">
                  <c:v>1.1613516566431896</c:v>
                </c:pt>
                <c:pt idx="27">
                  <c:v>1.1537611229396394</c:v>
                </c:pt>
                <c:pt idx="28">
                  <c:v>1.1462691675958756</c:v>
                </c:pt>
                <c:pt idx="29">
                  <c:v>1.138873882643644</c:v>
                </c:pt>
                <c:pt idx="30">
                  <c:v>1.131573409036954</c:v>
                </c:pt>
                <c:pt idx="31">
                  <c:v>1.1243659350940436</c:v>
                </c:pt>
                <c:pt idx="32">
                  <c:v>1.1172496949985116</c:v>
                </c:pt>
                <c:pt idx="33">
                  <c:v>1.1102229673570116</c:v>
                </c:pt>
              </c:numCache>
            </c:numRef>
          </c:val>
        </c:ser>
        <c:ser>
          <c:idx val="1"/>
          <c:order val="1"/>
          <c:tx>
            <c:strRef>
              <c:f>Sheet1!$G$2:$G$35</c:f>
              <c:strCache>
                <c:ptCount val="1"/>
                <c:pt idx="0">
                  <c:v>252 254 256 258 260 262 264 266 268 270 272 274 276 278 280 282 284 286 288 290 292 294 296 298 300 302 304 306 308 310 312 314 316 318</c:v>
                </c:pt>
              </c:strCache>
            </c:strRef>
          </c:tx>
          <c:marker>
            <c:symbol val="none"/>
          </c:marker>
          <c:val>
            <c:numLit>
              <c:formatCode>General</c:formatCode>
              <c:ptCount val="1"/>
              <c:pt idx="0">
                <c:v>1</c:v>
              </c:pt>
            </c:numLit>
          </c:val>
        </c:ser>
        <c:marker val="1"/>
        <c:axId val="50163072"/>
        <c:axId val="50336896"/>
      </c:lineChart>
      <c:catAx>
        <c:axId val="50163072"/>
        <c:scaling>
          <c:orientation val="minMax"/>
        </c:scaling>
        <c:axPos val="b"/>
        <c:tickLblPos val="nextTo"/>
        <c:crossAx val="50336896"/>
        <c:crosses val="autoZero"/>
        <c:auto val="1"/>
        <c:lblAlgn val="ctr"/>
        <c:lblOffset val="100"/>
      </c:catAx>
      <c:valAx>
        <c:axId val="50336896"/>
        <c:scaling>
          <c:orientation val="minMax"/>
        </c:scaling>
        <c:axPos val="l"/>
        <c:majorGridlines/>
        <c:numFmt formatCode="0.000" sourceLinked="1"/>
        <c:tickLblPos val="nextTo"/>
        <c:crossAx val="50163072"/>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76200</xdr:rowOff>
    </xdr:from>
    <xdr:to>
      <xdr:col>4</xdr:col>
      <xdr:colOff>438150</xdr:colOff>
      <xdr:row>24</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P42"/>
  <sheetViews>
    <sheetView tabSelected="1" workbookViewId="0">
      <selection activeCell="Q13" sqref="Q13"/>
    </sheetView>
  </sheetViews>
  <sheetFormatPr defaultRowHeight="15"/>
  <cols>
    <col min="2" max="2" width="18.28515625" customWidth="1"/>
    <col min="3" max="3" width="14.28515625" customWidth="1"/>
    <col min="4" max="4" width="10.7109375" customWidth="1"/>
    <col min="8" max="8" width="16.140625" customWidth="1"/>
    <col min="9" max="9" width="20.28515625" customWidth="1"/>
    <col min="10" max="10" width="16.7109375" customWidth="1"/>
    <col min="11" max="11" width="12.28515625" customWidth="1"/>
    <col min="12" max="12" width="16.140625" customWidth="1"/>
    <col min="13" max="13" width="18.42578125" customWidth="1"/>
  </cols>
  <sheetData>
    <row r="1" spans="2:16">
      <c r="B1" s="1" t="s">
        <v>0</v>
      </c>
      <c r="C1" s="1"/>
      <c r="D1" s="1"/>
      <c r="F1" s="10" t="s">
        <v>9</v>
      </c>
      <c r="G1" s="10" t="s">
        <v>10</v>
      </c>
      <c r="H1" s="10" t="s">
        <v>11</v>
      </c>
      <c r="I1" s="10" t="s">
        <v>12</v>
      </c>
      <c r="J1" s="11" t="s">
        <v>13</v>
      </c>
      <c r="K1" s="11" t="s">
        <v>18</v>
      </c>
      <c r="L1" s="11" t="s">
        <v>11</v>
      </c>
      <c r="M1" s="11" t="s">
        <v>19</v>
      </c>
    </row>
    <row r="2" spans="2:16">
      <c r="B2" s="4" t="s">
        <v>1</v>
      </c>
      <c r="C2" s="5">
        <v>1.2250000000000001</v>
      </c>
      <c r="D2" s="3" t="s">
        <v>5</v>
      </c>
      <c r="F2" s="2">
        <v>-21</v>
      </c>
      <c r="G2" s="2">
        <f>F2+273</f>
        <v>252</v>
      </c>
      <c r="H2" s="12">
        <f>$C$3*$C$4/($C$5*G2)/1000</f>
        <v>1.4009956492838478</v>
      </c>
      <c r="I2" s="12">
        <f>H2/$C$2</f>
        <v>1.1436699177827327</v>
      </c>
      <c r="J2" s="13">
        <v>0</v>
      </c>
      <c r="K2" s="13">
        <f>$C$3*EXP(-$C$6*$C$4*J2/($C$5*$C$7))</f>
        <v>101325</v>
      </c>
      <c r="L2" s="14">
        <f>K2*$C$4/$C$5/$C$7/1000</f>
        <v>1.2258711931233668</v>
      </c>
      <c r="M2" s="14">
        <f>L2/$C$2</f>
        <v>1.0007111780598912</v>
      </c>
      <c r="O2" s="7" t="s">
        <v>20</v>
      </c>
      <c r="P2" s="6">
        <v>340</v>
      </c>
    </row>
    <row r="3" spans="2:16">
      <c r="B3" s="4" t="s">
        <v>2</v>
      </c>
      <c r="C3" s="5">
        <v>101325</v>
      </c>
      <c r="D3" s="3" t="s">
        <v>6</v>
      </c>
      <c r="F3" s="2">
        <v>-19</v>
      </c>
      <c r="G3" s="2">
        <f t="shared" ref="G3:G35" si="0">F3+273</f>
        <v>254</v>
      </c>
      <c r="H3" s="12">
        <f t="shared" ref="H3:H35" si="1">$C$3*$C$4/($C$5*G3)/1000</f>
        <v>1.3899641874784632</v>
      </c>
      <c r="I3" s="12">
        <f t="shared" ref="I3:I35" si="2">H3/$C$2</f>
        <v>1.1346646428395617</v>
      </c>
      <c r="J3" s="13">
        <v>50</v>
      </c>
      <c r="K3" s="14">
        <f>$C$3*EXP(-$C$6*$C$4/1000/$C$5/$C$7*J3)</f>
        <v>100725.49076368821</v>
      </c>
      <c r="L3" s="14">
        <f t="shared" ref="L3:L42" si="3">K3*$C$4/$C$5/$C$7/1000</f>
        <v>1.2186180857677682</v>
      </c>
      <c r="M3" s="14">
        <f t="shared" ref="M3:M42" si="4">L3/$C$2</f>
        <v>0.99479027409613718</v>
      </c>
      <c r="O3" s="7" t="s">
        <v>16</v>
      </c>
      <c r="P3" s="6">
        <v>-9</v>
      </c>
    </row>
    <row r="4" spans="2:16">
      <c r="B4" s="4" t="s">
        <v>3</v>
      </c>
      <c r="C4" s="5">
        <v>28.97</v>
      </c>
      <c r="D4" s="3" t="s">
        <v>7</v>
      </c>
      <c r="F4" s="2">
        <v>-17</v>
      </c>
      <c r="G4" s="2">
        <f t="shared" si="0"/>
        <v>256</v>
      </c>
      <c r="H4" s="12">
        <f t="shared" si="1"/>
        <v>1.3791050922637875</v>
      </c>
      <c r="I4" s="12">
        <f t="shared" si="2"/>
        <v>1.1258000753173776</v>
      </c>
      <c r="J4" s="13">
        <v>100</v>
      </c>
      <c r="K4" s="14">
        <f t="shared" ref="K4:K42" si="5">$C$3*EXP(-$C$6*$C$4/1000/$C$5/$C$7*J4)</f>
        <v>100129.52864136038</v>
      </c>
      <c r="L4" s="14">
        <f t="shared" si="3"/>
        <v>1.2114078928444587</v>
      </c>
      <c r="M4" s="14">
        <f t="shared" si="4"/>
        <v>0.98890440232200705</v>
      </c>
      <c r="O4" s="7" t="s">
        <v>21</v>
      </c>
      <c r="P4" s="8">
        <f>$C$3*EXP(-$C$6*$C$4/1000/$C$5/(P3+273)*P2)</f>
        <v>96961.276271829454</v>
      </c>
    </row>
    <row r="5" spans="2:16">
      <c r="B5" s="4" t="s">
        <v>4</v>
      </c>
      <c r="C5" s="5">
        <v>8.3143399999999996</v>
      </c>
      <c r="D5" s="3" t="s">
        <v>8</v>
      </c>
      <c r="F5" s="2">
        <v>-15</v>
      </c>
      <c r="G5" s="2">
        <f t="shared" si="0"/>
        <v>258</v>
      </c>
      <c r="H5" s="12">
        <f t="shared" si="1"/>
        <v>1.3684143551144561</v>
      </c>
      <c r="I5" s="12">
        <f t="shared" si="2"/>
        <v>1.1170729429505764</v>
      </c>
      <c r="J5" s="13">
        <v>150</v>
      </c>
      <c r="K5" s="14">
        <f t="shared" si="5"/>
        <v>99537.092645820871</v>
      </c>
      <c r="L5" s="14">
        <f t="shared" si="3"/>
        <v>1.2042403604417817</v>
      </c>
      <c r="M5" s="14">
        <f t="shared" si="4"/>
        <v>0.98305335546267891</v>
      </c>
      <c r="O5" s="7" t="s">
        <v>22</v>
      </c>
      <c r="P5" s="9">
        <f>P4*$C$4/$C$5/(P3+273)/1000</f>
        <v>1.2797204541294604</v>
      </c>
    </row>
    <row r="6" spans="2:16">
      <c r="B6" s="4" t="s">
        <v>14</v>
      </c>
      <c r="C6" s="5">
        <v>9.81</v>
      </c>
      <c r="D6" s="3" t="s">
        <v>15</v>
      </c>
      <c r="F6" s="2">
        <v>-13</v>
      </c>
      <c r="G6" s="2">
        <f t="shared" si="0"/>
        <v>260</v>
      </c>
      <c r="H6" s="12">
        <f t="shared" si="1"/>
        <v>1.3578880908443447</v>
      </c>
      <c r="I6" s="12">
        <f t="shared" si="2"/>
        <v>1.1084800741586487</v>
      </c>
      <c r="J6" s="13">
        <v>200</v>
      </c>
      <c r="K6" s="14">
        <f t="shared" si="5"/>
        <v>98948.161914048935</v>
      </c>
      <c r="L6" s="14">
        <f t="shared" si="3"/>
        <v>1.1971152361503998</v>
      </c>
      <c r="M6" s="14">
        <f t="shared" si="4"/>
        <v>0.97723692746971402</v>
      </c>
    </row>
    <row r="7" spans="2:16">
      <c r="B7" s="4" t="s">
        <v>16</v>
      </c>
      <c r="C7" s="5">
        <v>288</v>
      </c>
      <c r="D7" s="3" t="s">
        <v>17</v>
      </c>
      <c r="F7" s="2">
        <v>-11</v>
      </c>
      <c r="G7" s="2">
        <f t="shared" si="0"/>
        <v>262</v>
      </c>
      <c r="H7" s="12">
        <f t="shared" si="1"/>
        <v>1.3475225328989682</v>
      </c>
      <c r="I7" s="12">
        <f t="shared" si="2"/>
        <v>1.1000183942032393</v>
      </c>
      <c r="J7" s="13">
        <v>250</v>
      </c>
      <c r="K7" s="14">
        <f t="shared" si="5"/>
        <v>98362.715706463976</v>
      </c>
      <c r="L7" s="14">
        <f t="shared" si="3"/>
        <v>1.1900322690544045</v>
      </c>
      <c r="M7" s="14">
        <f t="shared" si="4"/>
        <v>0.97145491351379953</v>
      </c>
    </row>
    <row r="8" spans="2:16">
      <c r="F8" s="2">
        <v>-9</v>
      </c>
      <c r="G8" s="2">
        <f t="shared" si="0"/>
        <v>264</v>
      </c>
      <c r="H8" s="12">
        <f t="shared" si="1"/>
        <v>1.3373140288618548</v>
      </c>
      <c r="I8" s="12">
        <f t="shared" si="2"/>
        <v>1.0916849215198814</v>
      </c>
      <c r="J8" s="13">
        <v>300</v>
      </c>
      <c r="K8" s="14">
        <f t="shared" si="5"/>
        <v>97780.733406195184</v>
      </c>
      <c r="L8" s="14">
        <f t="shared" si="3"/>
        <v>1.1829912097224806</v>
      </c>
      <c r="M8" s="14">
        <f t="shared" si="4"/>
        <v>0.96570710997753517</v>
      </c>
    </row>
    <row r="9" spans="2:16">
      <c r="F9" s="2">
        <v>-7</v>
      </c>
      <c r="G9" s="2">
        <f t="shared" si="0"/>
        <v>266</v>
      </c>
      <c r="H9" s="12">
        <f t="shared" si="1"/>
        <v>1.3272590361636454</v>
      </c>
      <c r="I9" s="12">
        <f t="shared" si="2"/>
        <v>1.0834767642152205</v>
      </c>
      <c r="J9" s="13">
        <v>350</v>
      </c>
      <c r="K9" s="14">
        <f t="shared" si="5"/>
        <v>97202.194518355507</v>
      </c>
      <c r="L9" s="14">
        <f t="shared" si="3"/>
        <v>1.175991810199122</v>
      </c>
      <c r="M9" s="14">
        <f t="shared" si="4"/>
        <v>0.95999331444826286</v>
      </c>
    </row>
    <row r="10" spans="2:16">
      <c r="F10" s="2">
        <v>-5</v>
      </c>
      <c r="G10" s="2">
        <f t="shared" si="0"/>
        <v>268</v>
      </c>
      <c r="H10" s="12">
        <f t="shared" si="1"/>
        <v>1.3173541179833195</v>
      </c>
      <c r="I10" s="12">
        <f t="shared" si="2"/>
        <v>1.075391116721077</v>
      </c>
      <c r="J10" s="13">
        <v>400</v>
      </c>
      <c r="K10" s="14">
        <f t="shared" si="5"/>
        <v>96627.078669319948</v>
      </c>
      <c r="L10" s="14">
        <f t="shared" si="3"/>
        <v>1.1690338239959011</v>
      </c>
      <c r="M10" s="14">
        <f t="shared" si="4"/>
        <v>0.95431332571093952</v>
      </c>
    </row>
    <row r="11" spans="2:16">
      <c r="F11" s="2">
        <v>-3</v>
      </c>
      <c r="G11" s="2">
        <f t="shared" si="0"/>
        <v>270</v>
      </c>
      <c r="H11" s="12">
        <f t="shared" si="1"/>
        <v>1.3075959393315915</v>
      </c>
      <c r="I11" s="12">
        <f t="shared" si="2"/>
        <v>1.0674252565972175</v>
      </c>
      <c r="J11" s="13">
        <v>450</v>
      </c>
      <c r="K11" s="14">
        <f t="shared" si="5"/>
        <v>96055.365606007996</v>
      </c>
      <c r="L11" s="14">
        <f t="shared" si="3"/>
        <v>1.1621170060827852</v>
      </c>
      <c r="M11" s="14">
        <f t="shared" si="4"/>
        <v>0.9486669437410491</v>
      </c>
    </row>
    <row r="12" spans="2:16">
      <c r="F12" s="2">
        <v>-1</v>
      </c>
      <c r="G12" s="2">
        <f t="shared" si="0"/>
        <v>272</v>
      </c>
      <c r="H12" s="12">
        <f t="shared" si="1"/>
        <v>1.2979812633070944</v>
      </c>
      <c r="I12" s="12">
        <f t="shared" si="2"/>
        <v>1.059576541475179</v>
      </c>
      <c r="J12" s="13">
        <v>500</v>
      </c>
      <c r="K12" s="14">
        <f t="shared" si="5"/>
        <v>95487.035195170523</v>
      </c>
      <c r="L12" s="14">
        <f t="shared" si="3"/>
        <v>1.1552411128795124</v>
      </c>
      <c r="M12" s="14">
        <f t="shared" si="4"/>
        <v>0.94305396969756106</v>
      </c>
    </row>
    <row r="13" spans="2:16">
      <c r="F13" s="2">
        <v>1</v>
      </c>
      <c r="G13" s="2">
        <f t="shared" si="0"/>
        <v>274</v>
      </c>
      <c r="H13" s="12">
        <f t="shared" si="1"/>
        <v>1.2885069475165314</v>
      </c>
      <c r="I13" s="12">
        <f t="shared" si="2"/>
        <v>1.0518424061359439</v>
      </c>
      <c r="J13" s="13">
        <v>550</v>
      </c>
      <c r="K13" s="14">
        <f t="shared" si="5"/>
        <v>94922.067422680688</v>
      </c>
      <c r="L13" s="14">
        <f t="shared" si="3"/>
        <v>1.1484059022470094</v>
      </c>
      <c r="M13" s="14">
        <f t="shared" si="4"/>
        <v>0.93747420591592601</v>
      </c>
    </row>
    <row r="14" spans="2:16">
      <c r="F14" s="2">
        <v>3</v>
      </c>
      <c r="G14" s="2">
        <f t="shared" si="0"/>
        <v>276</v>
      </c>
      <c r="H14" s="12">
        <f t="shared" si="1"/>
        <v>1.27916994065047</v>
      </c>
      <c r="I14" s="12">
        <f t="shared" si="2"/>
        <v>1.0442203597146693</v>
      </c>
      <c r="J14" s="13">
        <v>600</v>
      </c>
      <c r="K14" s="14">
        <f t="shared" si="5"/>
        <v>94360.442392829151</v>
      </c>
      <c r="L14" s="14">
        <f t="shared" si="3"/>
        <v>1.141611133478867</v>
      </c>
      <c r="M14" s="14">
        <f t="shared" si="4"/>
        <v>0.93192745590111581</v>
      </c>
    </row>
    <row r="15" spans="2:16">
      <c r="F15" s="2">
        <v>5</v>
      </c>
      <c r="G15" s="2">
        <f t="shared" si="0"/>
        <v>278</v>
      </c>
      <c r="H15" s="12">
        <f t="shared" si="1"/>
        <v>1.2699672792069412</v>
      </c>
      <c r="I15" s="12">
        <f t="shared" si="2"/>
        <v>1.0367079830260744</v>
      </c>
      <c r="J15" s="13">
        <v>650</v>
      </c>
      <c r="K15" s="14">
        <f t="shared" si="5"/>
        <v>93802.140327623449</v>
      </c>
      <c r="L15" s="14">
        <f t="shared" si="3"/>
        <v>1.1348565672928619</v>
      </c>
      <c r="M15" s="14">
        <f t="shared" si="4"/>
        <v>0.92641352432070356</v>
      </c>
    </row>
    <row r="16" spans="2:16">
      <c r="F16" s="2">
        <v>7</v>
      </c>
      <c r="G16" s="2">
        <f t="shared" si="0"/>
        <v>280</v>
      </c>
      <c r="H16" s="12">
        <f t="shared" si="1"/>
        <v>1.2608960843554631</v>
      </c>
      <c r="I16" s="12">
        <f t="shared" si="2"/>
        <v>1.0293029260044595</v>
      </c>
      <c r="J16" s="13">
        <v>700</v>
      </c>
      <c r="K16" s="14">
        <f t="shared" si="5"/>
        <v>93247.141566091508</v>
      </c>
      <c r="L16" s="14">
        <f t="shared" si="3"/>
        <v>1.1281419658225322</v>
      </c>
      <c r="M16" s="14">
        <f t="shared" si="4"/>
        <v>0.92093221699798544</v>
      </c>
    </row>
    <row r="17" spans="6:13">
      <c r="F17" s="2">
        <v>9</v>
      </c>
      <c r="G17" s="2">
        <f t="shared" si="0"/>
        <v>282</v>
      </c>
      <c r="H17" s="12">
        <f t="shared" si="1"/>
        <v>1.2519535589345021</v>
      </c>
      <c r="I17" s="12">
        <f t="shared" si="2"/>
        <v>1.0220029052526547</v>
      </c>
      <c r="J17" s="13">
        <v>750</v>
      </c>
      <c r="K17" s="14">
        <f t="shared" si="5"/>
        <v>92695.426563589222</v>
      </c>
      <c r="L17" s="14">
        <f t="shared" si="3"/>
        <v>1.1214670926087991</v>
      </c>
      <c r="M17" s="14">
        <f t="shared" si="4"/>
        <v>0.91548334090514205</v>
      </c>
    </row>
    <row r="18" spans="6:13">
      <c r="F18" s="2">
        <v>11</v>
      </c>
      <c r="G18" s="2">
        <f t="shared" si="0"/>
        <v>284</v>
      </c>
      <c r="H18" s="12">
        <f t="shared" si="1"/>
        <v>1.2431369845758087</v>
      </c>
      <c r="I18" s="12">
        <f t="shared" si="2"/>
        <v>1.0148057016945375</v>
      </c>
      <c r="J18" s="13">
        <v>800</v>
      </c>
      <c r="K18" s="14">
        <f t="shared" si="5"/>
        <v>92146.975891112219</v>
      </c>
      <c r="L18" s="14">
        <f t="shared" si="3"/>
        <v>1.1148317125916392</v>
      </c>
      <c r="M18" s="14">
        <f t="shared" si="4"/>
        <v>0.91006670415644009</v>
      </c>
    </row>
    <row r="19" spans="6:13">
      <c r="F19" s="2">
        <v>13</v>
      </c>
      <c r="G19" s="2">
        <f t="shared" si="0"/>
        <v>286</v>
      </c>
      <c r="H19" s="12">
        <f t="shared" si="1"/>
        <v>1.2344437189494044</v>
      </c>
      <c r="I19" s="12">
        <f t="shared" si="2"/>
        <v>1.0077091583260442</v>
      </c>
      <c r="J19" s="13">
        <v>850</v>
      </c>
      <c r="K19" s="14">
        <f t="shared" si="5"/>
        <v>91601.770234611642</v>
      </c>
      <c r="L19" s="14">
        <f t="shared" si="3"/>
        <v>1.1082355921018097</v>
      </c>
      <c r="M19" s="14">
        <f t="shared" si="4"/>
        <v>0.90468211600147719</v>
      </c>
    </row>
    <row r="20" spans="6:13">
      <c r="F20" s="2">
        <v>15</v>
      </c>
      <c r="G20" s="2">
        <f t="shared" si="0"/>
        <v>288</v>
      </c>
      <c r="H20" s="12">
        <f t="shared" si="1"/>
        <v>1.2258711931233668</v>
      </c>
      <c r="I20" s="12">
        <f t="shared" si="2"/>
        <v>1.0007111780598912</v>
      </c>
      <c r="J20" s="13">
        <v>900</v>
      </c>
      <c r="K20" s="14">
        <f t="shared" si="5"/>
        <v>91059.790394313983</v>
      </c>
      <c r="L20" s="14">
        <f t="shared" si="3"/>
        <v>1.1016784988526167</v>
      </c>
      <c r="M20" s="14">
        <f t="shared" si="4"/>
        <v>0.89932938681846253</v>
      </c>
    </row>
    <row r="21" spans="6:13">
      <c r="F21" s="2">
        <v>17</v>
      </c>
      <c r="G21" s="2">
        <f t="shared" si="0"/>
        <v>290</v>
      </c>
      <c r="H21" s="12">
        <f>$C$3*$C$4/($C$5*G21)/1000</f>
        <v>1.217416909032861</v>
      </c>
      <c r="I21" s="12">
        <f>H21/$C$2</f>
        <v>0.99380972165947834</v>
      </c>
      <c r="J21" s="13">
        <v>950</v>
      </c>
      <c r="K21" s="14">
        <f t="shared" si="5"/>
        <v>90521.017284044996</v>
      </c>
      <c r="L21" s="14">
        <f t="shared" si="3"/>
        <v>1.0951602019317359</v>
      </c>
      <c r="M21" s="14">
        <f t="shared" si="4"/>
        <v>0.8940083281075395</v>
      </c>
    </row>
    <row r="22" spans="6:13">
      <c r="F22" s="2">
        <v>19</v>
      </c>
      <c r="G22" s="2">
        <f t="shared" si="0"/>
        <v>292</v>
      </c>
      <c r="H22" s="12">
        <f t="shared" si="1"/>
        <v>1.2090784370531837</v>
      </c>
      <c r="I22" s="12">
        <f t="shared" si="2"/>
        <v>0.98700280575770094</v>
      </c>
      <c r="J22" s="13">
        <v>1000</v>
      </c>
      <c r="K22" s="14">
        <f t="shared" si="5"/>
        <v>89985.431930557461</v>
      </c>
      <c r="L22" s="14">
        <f t="shared" si="3"/>
        <v>1.0886804717930816</v>
      </c>
      <c r="M22" s="14">
        <f t="shared" si="4"/>
        <v>0.88871875248414822</v>
      </c>
    </row>
    <row r="23" spans="6:13">
      <c r="F23" s="2">
        <v>21</v>
      </c>
      <c r="G23" s="2">
        <f t="shared" si="0"/>
        <v>294</v>
      </c>
      <c r="H23" s="12">
        <f t="shared" si="1"/>
        <v>1.2008534136718694</v>
      </c>
      <c r="I23" s="12">
        <f t="shared" si="2"/>
        <v>0.98028850095662801</v>
      </c>
      <c r="J23" s="13">
        <v>1050</v>
      </c>
      <c r="K23" s="14">
        <f t="shared" si="5"/>
        <v>89453.015472863161</v>
      </c>
      <c r="L23" s="14">
        <f t="shared" si="3"/>
        <v>1.0822390802487218</v>
      </c>
      <c r="M23" s="14">
        <f t="shared" si="4"/>
        <v>0.88346047367242597</v>
      </c>
    </row>
    <row r="24" spans="6:13">
      <c r="F24" s="2">
        <v>23</v>
      </c>
      <c r="G24" s="2">
        <f t="shared" si="0"/>
        <v>296</v>
      </c>
      <c r="H24" s="12">
        <f t="shared" si="1"/>
        <v>1.1927395392551676</v>
      </c>
      <c r="I24" s="12">
        <f t="shared" si="2"/>
        <v>0.97366493000421839</v>
      </c>
      <c r="J24" s="13">
        <v>1100</v>
      </c>
      <c r="K24" s="14">
        <f t="shared" si="5"/>
        <v>88923.749161568601</v>
      </c>
      <c r="L24" s="14">
        <f t="shared" si="3"/>
        <v>1.0758358004608444</v>
      </c>
      <c r="M24" s="14">
        <f t="shared" si="4"/>
        <v>0.87823330649864839</v>
      </c>
    </row>
    <row r="25" spans="6:13">
      <c r="F25" s="2">
        <v>25</v>
      </c>
      <c r="G25" s="2">
        <f t="shared" si="0"/>
        <v>298</v>
      </c>
      <c r="H25" s="12">
        <f t="shared" si="1"/>
        <v>1.1847345759044621</v>
      </c>
      <c r="I25" s="12">
        <f t="shared" si="2"/>
        <v>0.96713026604445873</v>
      </c>
      <c r="J25" s="13">
        <v>1150</v>
      </c>
      <c r="K25" s="14">
        <f t="shared" si="5"/>
        <v>88397.61435821472</v>
      </c>
      <c r="L25" s="14">
        <f t="shared" si="3"/>
        <v>1.0694704069337668</v>
      </c>
      <c r="M25" s="14">
        <f t="shared" si="4"/>
        <v>0.8730370668847075</v>
      </c>
    </row>
    <row r="26" spans="6:13">
      <c r="F26" s="2">
        <v>27</v>
      </c>
      <c r="G26" s="2">
        <f t="shared" si="0"/>
        <v>300</v>
      </c>
      <c r="H26" s="12">
        <f t="shared" si="1"/>
        <v>1.1768363453984323</v>
      </c>
      <c r="I26" s="12">
        <f t="shared" si="2"/>
        <v>0.96068273093749568</v>
      </c>
      <c r="J26" s="13">
        <v>1200</v>
      </c>
      <c r="K26" s="14">
        <f t="shared" si="5"/>
        <v>87874.592534620562</v>
      </c>
      <c r="L26" s="14">
        <f t="shared" si="3"/>
        <v>1.0631426755059956</v>
      </c>
      <c r="M26" s="14">
        <f t="shared" si="4"/>
        <v>0.867871571841629</v>
      </c>
    </row>
    <row r="27" spans="6:13">
      <c r="F27" s="2">
        <v>29</v>
      </c>
      <c r="G27" s="2">
        <f t="shared" si="0"/>
        <v>302</v>
      </c>
      <c r="H27" s="12">
        <f t="shared" si="1"/>
        <v>1.1690427272169857</v>
      </c>
      <c r="I27" s="12">
        <f t="shared" si="2"/>
        <v>0.95432059364651878</v>
      </c>
      <c r="J27" s="13">
        <v>1250</v>
      </c>
      <c r="K27" s="14">
        <f t="shared" si="5"/>
        <v>87354.665272230835</v>
      </c>
      <c r="L27" s="14">
        <f t="shared" si="3"/>
        <v>1.0568523833423336</v>
      </c>
      <c r="M27" s="14">
        <f t="shared" si="4"/>
        <v>0.8627366394631294</v>
      </c>
    </row>
    <row r="28" spans="6:13">
      <c r="F28" s="2">
        <v>31</v>
      </c>
      <c r="G28" s="2">
        <f t="shared" si="0"/>
        <v>304</v>
      </c>
      <c r="H28" s="12">
        <f t="shared" si="1"/>
        <v>1.1613516566431896</v>
      </c>
      <c r="I28" s="12">
        <f t="shared" si="2"/>
        <v>0.94804216868831803</v>
      </c>
      <c r="J28" s="13">
        <v>1300</v>
      </c>
      <c r="K28" s="14">
        <f t="shared" si="5"/>
        <v>86837.814261467181</v>
      </c>
      <c r="L28" s="14">
        <f t="shared" si="3"/>
        <v>1.050599308926031</v>
      </c>
      <c r="M28" s="14">
        <f t="shared" si="4"/>
        <v>0.85763208891920895</v>
      </c>
    </row>
    <row r="29" spans="6:13">
      <c r="F29" s="2">
        <v>33</v>
      </c>
      <c r="G29" s="2">
        <f t="shared" si="0"/>
        <v>306</v>
      </c>
      <c r="H29" s="12">
        <f t="shared" si="1"/>
        <v>1.1537611229396394</v>
      </c>
      <c r="I29" s="12">
        <f t="shared" si="2"/>
        <v>0.94184581464460349</v>
      </c>
      <c r="J29" s="13">
        <v>1350</v>
      </c>
      <c r="K29" s="14">
        <f t="shared" si="5"/>
        <v>86324.0213010835</v>
      </c>
      <c r="L29" s="14">
        <f t="shared" si="3"/>
        <v>1.044383232050986</v>
      </c>
      <c r="M29" s="14">
        <f t="shared" si="4"/>
        <v>0.8525577404497845</v>
      </c>
    </row>
    <row r="30" spans="6:13">
      <c r="F30" s="2">
        <v>35</v>
      </c>
      <c r="G30" s="2">
        <f t="shared" si="0"/>
        <v>308</v>
      </c>
      <c r="H30" s="12">
        <f t="shared" si="1"/>
        <v>1.1462691675958756</v>
      </c>
      <c r="I30" s="12">
        <f t="shared" si="2"/>
        <v>0.93572993273132699</v>
      </c>
      <c r="J30" s="13">
        <v>1400</v>
      </c>
      <c r="K30" s="14">
        <f t="shared" si="5"/>
        <v>85813.268297524904</v>
      </c>
      <c r="L30" s="14">
        <f t="shared" si="3"/>
        <v>1.0382039338139888</v>
      </c>
      <c r="M30" s="14">
        <f t="shared" si="4"/>
        <v>0.84751341535835811</v>
      </c>
    </row>
    <row r="31" spans="6:13">
      <c r="F31" s="2">
        <v>37</v>
      </c>
      <c r="G31" s="2">
        <f t="shared" si="0"/>
        <v>310</v>
      </c>
      <c r="H31" s="12">
        <f t="shared" si="1"/>
        <v>1.138873882643644</v>
      </c>
      <c r="I31" s="12">
        <f t="shared" si="2"/>
        <v>0.92969296542338276</v>
      </c>
      <c r="J31" s="13">
        <v>1450</v>
      </c>
      <c r="K31" s="14">
        <f t="shared" si="5"/>
        <v>85305.537264290586</v>
      </c>
      <c r="L31" s="14">
        <f t="shared" si="3"/>
        <v>1.0320611966070143</v>
      </c>
      <c r="M31" s="14">
        <f t="shared" si="4"/>
        <v>0.8424989360057259</v>
      </c>
    </row>
    <row r="32" spans="6:13">
      <c r="F32" s="2">
        <v>39</v>
      </c>
      <c r="G32" s="2">
        <f t="shared" si="0"/>
        <v>312</v>
      </c>
      <c r="H32" s="12">
        <f t="shared" si="1"/>
        <v>1.131573409036954</v>
      </c>
      <c r="I32" s="12">
        <f t="shared" si="2"/>
        <v>0.92373339513220731</v>
      </c>
      <c r="J32" s="13">
        <v>1500</v>
      </c>
      <c r="K32" s="14">
        <f t="shared" si="5"/>
        <v>84800.810321300392</v>
      </c>
      <c r="L32" s="14">
        <f t="shared" si="3"/>
        <v>1.0259548041095565</v>
      </c>
      <c r="M32" s="14">
        <f t="shared" si="4"/>
        <v>0.83751412580371953</v>
      </c>
    </row>
    <row r="33" spans="6:13">
      <c r="F33" s="2">
        <v>41</v>
      </c>
      <c r="G33" s="2">
        <f t="shared" si="0"/>
        <v>314</v>
      </c>
      <c r="H33" s="12">
        <f t="shared" si="1"/>
        <v>1.1243659350940436</v>
      </c>
      <c r="I33" s="12">
        <f t="shared" si="2"/>
        <v>0.91784974293391308</v>
      </c>
      <c r="J33" s="13">
        <v>1550</v>
      </c>
      <c r="K33" s="14">
        <f t="shared" si="5"/>
        <v>84299.06969426517</v>
      </c>
      <c r="L33" s="14">
        <f t="shared" si="3"/>
        <v>1.0198845412810136</v>
      </c>
      <c r="M33" s="14">
        <f t="shared" si="4"/>
        <v>0.83255880920899061</v>
      </c>
    </row>
    <row r="34" spans="6:13">
      <c r="F34" s="2">
        <v>43</v>
      </c>
      <c r="G34" s="2">
        <f t="shared" si="0"/>
        <v>316</v>
      </c>
      <c r="H34" s="12">
        <f t="shared" si="1"/>
        <v>1.1172496949985116</v>
      </c>
      <c r="I34" s="12">
        <f t="shared" si="2"/>
        <v>0.9120405673457237</v>
      </c>
      <c r="J34" s="13">
        <v>1600</v>
      </c>
      <c r="K34" s="14">
        <f t="shared" si="5"/>
        <v>83800.297714060856</v>
      </c>
      <c r="L34" s="14">
        <f t="shared" si="3"/>
        <v>1.0138501943531124</v>
      </c>
      <c r="M34" s="14">
        <f t="shared" si="4"/>
        <v>0.82763281171682634</v>
      </c>
    </row>
    <row r="35" spans="6:13">
      <c r="F35" s="2">
        <v>45</v>
      </c>
      <c r="G35" s="2">
        <f t="shared" si="0"/>
        <v>318</v>
      </c>
      <c r="H35" s="12">
        <f t="shared" si="1"/>
        <v>1.1102229673570116</v>
      </c>
      <c r="I35" s="12">
        <f t="shared" si="2"/>
        <v>0.90630446314858082</v>
      </c>
      <c r="J35" s="13">
        <v>1650</v>
      </c>
      <c r="K35" s="14">
        <f t="shared" si="5"/>
        <v>83304.476816106195</v>
      </c>
      <c r="L35" s="14">
        <f t="shared" si="3"/>
        <v>1.0078515508223829</v>
      </c>
      <c r="M35" s="14">
        <f t="shared" si="4"/>
        <v>0.82273595985500636</v>
      </c>
    </row>
    <row r="36" spans="6:13">
      <c r="J36" s="13">
        <v>1700</v>
      </c>
      <c r="K36" s="14">
        <f t="shared" si="5"/>
        <v>82811.589539744222</v>
      </c>
      <c r="L36" s="14">
        <f t="shared" si="3"/>
        <v>1.0018883994426722</v>
      </c>
      <c r="M36" s="14">
        <f t="shared" si="4"/>
        <v>0.8178680811776915</v>
      </c>
    </row>
    <row r="37" spans="6:13">
      <c r="J37" s="13">
        <v>1750</v>
      </c>
      <c r="K37" s="14">
        <f t="shared" si="5"/>
        <v>82321.61852762739</v>
      </c>
      <c r="L37" s="14">
        <f t="shared" si="3"/>
        <v>0.99596053021770781</v>
      </c>
      <c r="M37" s="14">
        <f t="shared" si="4"/>
        <v>0.81302900425935321</v>
      </c>
    </row>
    <row r="38" spans="6:13">
      <c r="J38" s="13">
        <v>1800</v>
      </c>
      <c r="K38" s="14">
        <f t="shared" si="5"/>
        <v>81834.546525106329</v>
      </c>
      <c r="L38" s="14">
        <f t="shared" si="3"/>
        <v>0.99006773439370099</v>
      </c>
      <c r="M38" s="14">
        <f t="shared" si="4"/>
        <v>0.80821855868873549</v>
      </c>
    </row>
    <row r="39" spans="6:13">
      <c r="J39" s="13">
        <v>1850</v>
      </c>
      <c r="K39" s="14">
        <f t="shared" si="5"/>
        <v>81350.356379622113</v>
      </c>
      <c r="L39" s="14">
        <f t="shared" si="3"/>
        <v>0.9842098044519958</v>
      </c>
      <c r="M39" s="14">
        <f t="shared" si="4"/>
        <v>0.8034365750628536</v>
      </c>
    </row>
    <row r="40" spans="6:13">
      <c r="J40" s="13">
        <v>1900</v>
      </c>
      <c r="K40" s="14">
        <f t="shared" si="5"/>
        <v>80869.03104010236</v>
      </c>
      <c r="L40" s="14">
        <f t="shared" si="3"/>
        <v>0.97838653410176024</v>
      </c>
      <c r="M40" s="14">
        <f t="shared" si="4"/>
        <v>0.79868288498102868</v>
      </c>
    </row>
    <row r="41" spans="6:13">
      <c r="J41" s="13">
        <v>1950</v>
      </c>
      <c r="K41" s="14">
        <f t="shared" si="5"/>
        <v>80390.553556360683</v>
      </c>
      <c r="L41" s="14">
        <f t="shared" si="3"/>
        <v>0.97259771827272434</v>
      </c>
      <c r="M41" s="14">
        <f t="shared" si="4"/>
        <v>0.79395732103895855</v>
      </c>
    </row>
    <row r="42" spans="6:13">
      <c r="J42" s="13">
        <v>2000</v>
      </c>
      <c r="K42" s="14">
        <f t="shared" si="5"/>
        <v>79914.907078499789</v>
      </c>
      <c r="L42" s="14">
        <f t="shared" si="3"/>
        <v>0.96684315310795477</v>
      </c>
      <c r="M42" s="14">
        <f t="shared" si="4"/>
        <v>0.78925971682282015</v>
      </c>
    </row>
  </sheetData>
  <mergeCells count="1">
    <mergeCell ref="B1:D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2020-05-21T11:11:34Z</dcterms:created>
  <dcterms:modified xsi:type="dcterms:W3CDTF">2020-05-21T11:55:56Z</dcterms:modified>
</cp:coreProperties>
</file>