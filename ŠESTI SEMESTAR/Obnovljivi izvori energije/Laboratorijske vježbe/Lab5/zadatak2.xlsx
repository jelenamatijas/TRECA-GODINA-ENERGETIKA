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Sheet1!$G$12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Sheet1!$K$9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10000</definedName>
  </definedNames>
  <calcPr calcId="125725"/>
</workbook>
</file>

<file path=xl/calcChain.xml><?xml version="1.0" encoding="utf-8"?>
<calcChain xmlns="http://schemas.openxmlformats.org/spreadsheetml/2006/main">
  <c r="K6" i="1"/>
  <c r="K5"/>
  <c r="K4"/>
  <c r="K8" s="1"/>
  <c r="K9" s="1"/>
  <c r="K11" s="1"/>
  <c r="K3"/>
  <c r="D5"/>
  <c r="D6"/>
  <c r="D7"/>
  <c r="D8"/>
  <c r="D9"/>
  <c r="D4"/>
  <c r="K7" l="1"/>
  <c r="K10" s="1"/>
</calcChain>
</file>

<file path=xl/sharedStrings.xml><?xml version="1.0" encoding="utf-8"?>
<sst xmlns="http://schemas.openxmlformats.org/spreadsheetml/2006/main" count="39" uniqueCount="33">
  <si>
    <t>mjerenje anenometra</t>
  </si>
  <si>
    <t>t</t>
  </si>
  <si>
    <t>v</t>
  </si>
  <si>
    <t>v3*t</t>
  </si>
  <si>
    <t>podaci o vjetroturbini</t>
  </si>
  <si>
    <t>efikasnost</t>
  </si>
  <si>
    <t>cijena</t>
  </si>
  <si>
    <t>masa</t>
  </si>
  <si>
    <t>gustina vazduha</t>
  </si>
  <si>
    <t>broj sati u godini</t>
  </si>
  <si>
    <t>alpha</t>
  </si>
  <si>
    <t>visina mjereja</t>
  </si>
  <si>
    <t>visina stuba</t>
  </si>
  <si>
    <t>površina koju zahvataju lopatice</t>
  </si>
  <si>
    <t>KM/m2</t>
  </si>
  <si>
    <t>kg/m3</t>
  </si>
  <si>
    <t>kg/m2</t>
  </si>
  <si>
    <t>m</t>
  </si>
  <si>
    <t>m2</t>
  </si>
  <si>
    <t>Proračuni</t>
  </si>
  <si>
    <t>Veff</t>
  </si>
  <si>
    <t>m/s2</t>
  </si>
  <si>
    <t>Veff(visina stuba)</t>
  </si>
  <si>
    <t>C0</t>
  </si>
  <si>
    <t>KM</t>
  </si>
  <si>
    <t>Cs</t>
  </si>
  <si>
    <t>C</t>
  </si>
  <si>
    <t>Pv</t>
  </si>
  <si>
    <t>W</t>
  </si>
  <si>
    <t>Pg</t>
  </si>
  <si>
    <t>c</t>
  </si>
  <si>
    <t>KM/W</t>
  </si>
  <si>
    <t>Pn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</si>
</sst>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165" fontId="0" fillId="4" borderId="0" xfId="0" applyNumberForma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12"/>
  <sheetViews>
    <sheetView tabSelected="1" workbookViewId="0">
      <selection activeCell="B4" sqref="B4:D9"/>
    </sheetView>
  </sheetViews>
  <sheetFormatPr defaultRowHeight="15"/>
  <cols>
    <col min="6" max="6" width="29.28515625" customWidth="1"/>
    <col min="7" max="7" width="14" customWidth="1"/>
    <col min="10" max="10" width="18.28515625" customWidth="1"/>
  </cols>
  <sheetData>
    <row r="2" spans="2:12">
      <c r="B2" s="1" t="s">
        <v>0</v>
      </c>
      <c r="C2" s="1"/>
      <c r="D2" s="1"/>
      <c r="F2" s="1" t="s">
        <v>4</v>
      </c>
      <c r="G2" s="1"/>
      <c r="H2" s="1"/>
      <c r="J2" s="1" t="s">
        <v>19</v>
      </c>
      <c r="K2" s="1"/>
      <c r="L2" s="1"/>
    </row>
    <row r="3" spans="2:12">
      <c r="B3" s="3" t="s">
        <v>2</v>
      </c>
      <c r="C3" s="3" t="s">
        <v>1</v>
      </c>
      <c r="D3" s="3" t="s">
        <v>3</v>
      </c>
      <c r="F3" s="2" t="s">
        <v>5</v>
      </c>
      <c r="G3" s="3">
        <v>0.4</v>
      </c>
      <c r="H3" s="3"/>
      <c r="J3" s="5" t="s">
        <v>20</v>
      </c>
      <c r="K3" s="3">
        <f>(SUM(D4:D9)/8760)^(1/3)</f>
        <v>11.731498471974691</v>
      </c>
      <c r="L3" s="3" t="s">
        <v>21</v>
      </c>
    </row>
    <row r="4" spans="2:12">
      <c r="B4" s="6">
        <v>25</v>
      </c>
      <c r="C4" s="6">
        <v>90</v>
      </c>
      <c r="D4" s="6">
        <f>B4^3*C4</f>
        <v>1406250</v>
      </c>
      <c r="F4" s="2" t="s">
        <v>6</v>
      </c>
      <c r="G4" s="3">
        <v>300</v>
      </c>
      <c r="H4" s="3" t="s">
        <v>14</v>
      </c>
      <c r="J4" s="5" t="s">
        <v>22</v>
      </c>
      <c r="K4" s="3">
        <f>K3*($G$11/$G$10)^$G$9</f>
        <v>13.17241034307213</v>
      </c>
      <c r="L4" s="3" t="s">
        <v>21</v>
      </c>
    </row>
    <row r="5" spans="2:12">
      <c r="B5" s="6">
        <v>20</v>
      </c>
      <c r="C5" s="6">
        <v>600</v>
      </c>
      <c r="D5" s="6">
        <f t="shared" ref="D5:D9" si="0">B5^3*C5</f>
        <v>4800000</v>
      </c>
      <c r="F5" s="2" t="s">
        <v>7</v>
      </c>
      <c r="G5" s="3">
        <v>100</v>
      </c>
      <c r="H5" s="3" t="s">
        <v>16</v>
      </c>
      <c r="J5" s="5" t="s">
        <v>23</v>
      </c>
      <c r="K5" s="3">
        <f>300*$G$12</f>
        <v>5357.4659135610327</v>
      </c>
      <c r="L5" s="3" t="s">
        <v>24</v>
      </c>
    </row>
    <row r="6" spans="2:12">
      <c r="B6" s="6">
        <v>15</v>
      </c>
      <c r="C6" s="6">
        <v>1600</v>
      </c>
      <c r="D6" s="6">
        <f t="shared" si="0"/>
        <v>5400000</v>
      </c>
      <c r="F6" s="2" t="s">
        <v>8</v>
      </c>
      <c r="G6" s="3">
        <v>1.2250000000000001</v>
      </c>
      <c r="H6" s="3" t="s">
        <v>15</v>
      </c>
      <c r="J6" s="5" t="s">
        <v>25</v>
      </c>
      <c r="K6" s="3">
        <f>0.1*$G11*100*$G$12</f>
        <v>4018.098310643044</v>
      </c>
      <c r="L6" s="3" t="s">
        <v>24</v>
      </c>
    </row>
    <row r="7" spans="2:12">
      <c r="B7" s="6">
        <v>10</v>
      </c>
      <c r="C7" s="6">
        <v>2200</v>
      </c>
      <c r="D7" s="6">
        <f t="shared" si="0"/>
        <v>2200000</v>
      </c>
      <c r="F7" s="2"/>
      <c r="G7" s="3"/>
      <c r="H7" s="3"/>
      <c r="J7" s="5" t="s">
        <v>26</v>
      </c>
      <c r="K7" s="3">
        <f>$K$5+$K$6</f>
        <v>9375.5642242040776</v>
      </c>
      <c r="L7" s="3" t="s">
        <v>24</v>
      </c>
    </row>
    <row r="8" spans="2:12">
      <c r="B8" s="6">
        <v>5</v>
      </c>
      <c r="C8" s="6">
        <v>2700</v>
      </c>
      <c r="D8" s="6">
        <f t="shared" si="0"/>
        <v>337500</v>
      </c>
      <c r="F8" s="2" t="s">
        <v>9</v>
      </c>
      <c r="G8" s="3">
        <v>8750</v>
      </c>
      <c r="H8" s="3"/>
      <c r="J8" s="5" t="s">
        <v>27</v>
      </c>
      <c r="K8" s="3">
        <f>0.5*$G$6*$G$12*$K$4^3</f>
        <v>24999.999999999996</v>
      </c>
      <c r="L8" s="3" t="s">
        <v>28</v>
      </c>
    </row>
    <row r="9" spans="2:12">
      <c r="B9" s="6">
        <v>0</v>
      </c>
      <c r="C9" s="6">
        <v>1570</v>
      </c>
      <c r="D9" s="6">
        <f t="shared" si="0"/>
        <v>0</v>
      </c>
      <c r="F9" s="2" t="s">
        <v>10</v>
      </c>
      <c r="G9" s="4">
        <v>0.14285712</v>
      </c>
      <c r="H9" s="3"/>
      <c r="J9" s="5" t="s">
        <v>29</v>
      </c>
      <c r="K9" s="3">
        <f>$K$8*$G$3</f>
        <v>10000</v>
      </c>
      <c r="L9" s="3" t="s">
        <v>28</v>
      </c>
    </row>
    <row r="10" spans="2:12">
      <c r="F10" s="2" t="s">
        <v>11</v>
      </c>
      <c r="G10" s="3">
        <v>10</v>
      </c>
      <c r="H10" s="3" t="s">
        <v>17</v>
      </c>
      <c r="J10" s="5" t="s">
        <v>30</v>
      </c>
      <c r="K10" s="3">
        <f>$K$7/$K$9</f>
        <v>0.93755642242040771</v>
      </c>
      <c r="L10" s="3" t="s">
        <v>31</v>
      </c>
    </row>
    <row r="11" spans="2:12">
      <c r="F11" s="2" t="s">
        <v>12</v>
      </c>
      <c r="G11" s="3">
        <v>22.49999370302444</v>
      </c>
      <c r="H11" s="3" t="s">
        <v>17</v>
      </c>
      <c r="J11" s="5" t="s">
        <v>32</v>
      </c>
      <c r="K11" s="3">
        <f>$K$9*($B$4/$K$3)^3</f>
        <v>96774.193548387149</v>
      </c>
      <c r="L11" s="3" t="s">
        <v>28</v>
      </c>
    </row>
    <row r="12" spans="2:12">
      <c r="F12" s="2" t="s">
        <v>13</v>
      </c>
      <c r="G12" s="3">
        <v>17.85821971187011</v>
      </c>
      <c r="H12" s="3" t="s">
        <v>18</v>
      </c>
    </row>
  </sheetData>
  <mergeCells count="3">
    <mergeCell ref="B2:D2"/>
    <mergeCell ref="F2:H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2020-05-21T11:56:06Z</dcterms:created>
  <dcterms:modified xsi:type="dcterms:W3CDTF">2020-05-21T12:49:25Z</dcterms:modified>
</cp:coreProperties>
</file>