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240" yWindow="45" windowWidth="10515" windowHeight="7500" activeTab="1"/>
  </bookViews>
  <sheets>
    <sheet name="Sheet1" sheetId="1" r:id="rId1"/>
    <sheet name="Sheet2" sheetId="2" r:id="rId2"/>
  </sheets>
  <definedNames>
    <definedName name="solver_adj" localSheetId="1" hidden="1">Sheet2!$D$7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Sheet2!$O$15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62913"/>
</workbook>
</file>

<file path=xl/calcChain.xml><?xml version="1.0" encoding="utf-8"?>
<calcChain xmlns="http://schemas.openxmlformats.org/spreadsheetml/2006/main">
  <c r="N26" i="2" l="1"/>
  <c r="N22" i="2"/>
  <c r="N18" i="2"/>
  <c r="D15" i="2"/>
  <c r="N12" i="2"/>
  <c r="D12" i="2"/>
  <c r="D11" i="2"/>
  <c r="J12" i="2" s="1"/>
  <c r="N6" i="2"/>
  <c r="N5" i="2"/>
  <c r="N4" i="2"/>
  <c r="M4" i="2"/>
  <c r="I4" i="2"/>
  <c r="H4" i="2"/>
  <c r="M5" i="2" l="1"/>
  <c r="N27" i="2"/>
  <c r="N23" i="2"/>
  <c r="N19" i="2"/>
  <c r="N15" i="2"/>
  <c r="N11" i="2"/>
  <c r="N8" i="2"/>
  <c r="N7" i="2"/>
  <c r="N25" i="2"/>
  <c r="N21" i="2"/>
  <c r="N17" i="2"/>
  <c r="N13" i="2"/>
  <c r="N28" i="2"/>
  <c r="N24" i="2"/>
  <c r="N20" i="2"/>
  <c r="N16" i="2"/>
  <c r="N14" i="2"/>
  <c r="N10" i="2"/>
  <c r="N9" i="2"/>
  <c r="J15" i="2"/>
  <c r="J11" i="2"/>
  <c r="J13" i="2"/>
  <c r="J14" i="2"/>
  <c r="J10" i="2"/>
  <c r="J9" i="2"/>
  <c r="J8" i="2"/>
  <c r="J7" i="2"/>
  <c r="J4" i="2"/>
  <c r="J5" i="2"/>
  <c r="J6" i="2"/>
  <c r="K16" i="1"/>
  <c r="K4" i="2" l="1"/>
  <c r="H5" i="2" s="1"/>
  <c r="J29" i="2"/>
  <c r="D13" i="2" s="1"/>
  <c r="M6" i="2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M4" i="1"/>
  <c r="M7" i="2" l="1"/>
  <c r="I5" i="2"/>
  <c r="K5" i="2" s="1"/>
  <c r="H6" i="2" s="1"/>
  <c r="L29" i="1"/>
  <c r="D12" i="1"/>
  <c r="D15" i="1" s="1"/>
  <c r="H4" i="1"/>
  <c r="I4" i="1" s="1"/>
  <c r="D11" i="1"/>
  <c r="J6" i="1" s="1"/>
  <c r="I6" i="2" l="1"/>
  <c r="K6" i="2" s="1"/>
  <c r="H7" i="2" s="1"/>
  <c r="M8" i="2"/>
  <c r="N8" i="1"/>
  <c r="N12" i="1"/>
  <c r="N16" i="1"/>
  <c r="N20" i="1"/>
  <c r="N24" i="1"/>
  <c r="N28" i="1"/>
  <c r="N5" i="1"/>
  <c r="N9" i="1"/>
  <c r="N13" i="1"/>
  <c r="N17" i="1"/>
  <c r="N21" i="1"/>
  <c r="N25" i="1"/>
  <c r="N4" i="1"/>
  <c r="N6" i="1"/>
  <c r="N10" i="1"/>
  <c r="N14" i="1"/>
  <c r="N18" i="1"/>
  <c r="N22" i="1"/>
  <c r="N26" i="1"/>
  <c r="N7" i="1"/>
  <c r="N11" i="1"/>
  <c r="N15" i="1"/>
  <c r="N19" i="1"/>
  <c r="N23" i="1"/>
  <c r="N27" i="1"/>
  <c r="J13" i="1"/>
  <c r="J9" i="1"/>
  <c r="J5" i="1"/>
  <c r="J4" i="1"/>
  <c r="J12" i="1"/>
  <c r="J8" i="1"/>
  <c r="J15" i="1"/>
  <c r="J11" i="1"/>
  <c r="J7" i="1"/>
  <c r="J14" i="1"/>
  <c r="J10" i="1"/>
  <c r="I7" i="2" l="1"/>
  <c r="K7" i="2" s="1"/>
  <c r="H8" i="2"/>
  <c r="M9" i="2"/>
  <c r="K4" i="1"/>
  <c r="H5" i="1" s="1"/>
  <c r="J29" i="1"/>
  <c r="D13" i="1" s="1"/>
  <c r="M10" i="2" l="1"/>
  <c r="I8" i="2"/>
  <c r="K8" i="2" s="1"/>
  <c r="H9" i="2"/>
  <c r="I5" i="1"/>
  <c r="K5" i="1" s="1"/>
  <c r="H6" i="1"/>
  <c r="I6" i="1" s="1"/>
  <c r="K6" i="1" s="1"/>
  <c r="H7" i="1" s="1"/>
  <c r="I7" i="1" s="1"/>
  <c r="K7" i="1" s="1"/>
  <c r="H8" i="1" s="1"/>
  <c r="I9" i="2" l="1"/>
  <c r="K9" i="2" s="1"/>
  <c r="H10" i="2"/>
  <c r="M11" i="2"/>
  <c r="I8" i="1"/>
  <c r="K8" i="1" s="1"/>
  <c r="H9" i="1" s="1"/>
  <c r="M12" i="2" l="1"/>
  <c r="I10" i="2"/>
  <c r="K10" i="2" s="1"/>
  <c r="H11" i="2" s="1"/>
  <c r="I9" i="1"/>
  <c r="K9" i="1" s="1"/>
  <c r="H10" i="1" s="1"/>
  <c r="I11" i="2" l="1"/>
  <c r="K11" i="2" s="1"/>
  <c r="H12" i="2" s="1"/>
  <c r="M13" i="2"/>
  <c r="I10" i="1"/>
  <c r="K10" i="1" s="1"/>
  <c r="H11" i="1" s="1"/>
  <c r="I11" i="1" s="1"/>
  <c r="K11" i="1" s="1"/>
  <c r="H12" i="1" s="1"/>
  <c r="I12" i="2" l="1"/>
  <c r="K12" i="2" s="1"/>
  <c r="H13" i="2" s="1"/>
  <c r="M14" i="2"/>
  <c r="I12" i="1"/>
  <c r="K12" i="1" s="1"/>
  <c r="H13" i="1" s="1"/>
  <c r="I13" i="2" l="1"/>
  <c r="K13" i="2" s="1"/>
  <c r="H14" i="2" s="1"/>
  <c r="M15" i="2"/>
  <c r="I13" i="1"/>
  <c r="K13" i="1" s="1"/>
  <c r="H14" i="1" s="1"/>
  <c r="I14" i="2" l="1"/>
  <c r="K14" i="2" s="1"/>
  <c r="H15" i="2" s="1"/>
  <c r="M16" i="2"/>
  <c r="I14" i="1"/>
  <c r="K14" i="1" s="1"/>
  <c r="H15" i="1" s="1"/>
  <c r="I15" i="2" l="1"/>
  <c r="K15" i="2" s="1"/>
  <c r="H16" i="2" s="1"/>
  <c r="M17" i="2"/>
  <c r="I15" i="1"/>
  <c r="K15" i="1" s="1"/>
  <c r="H16" i="1"/>
  <c r="I16" i="1" s="1"/>
  <c r="H17" i="1" s="1"/>
  <c r="I17" i="1" s="1"/>
  <c r="K17" i="1" s="1"/>
  <c r="H18" i="1" s="1"/>
  <c r="I18" i="1" s="1"/>
  <c r="K18" i="1" s="1"/>
  <c r="H19" i="1" s="1"/>
  <c r="I19" i="1" s="1"/>
  <c r="K19" i="1" s="1"/>
  <c r="H20" i="1" s="1"/>
  <c r="I20" i="1" s="1"/>
  <c r="K20" i="1" s="1"/>
  <c r="H21" i="1" s="1"/>
  <c r="I21" i="1" s="1"/>
  <c r="K21" i="1" s="1"/>
  <c r="H22" i="1" s="1"/>
  <c r="I22" i="1" s="1"/>
  <c r="K22" i="1" s="1"/>
  <c r="H23" i="1" s="1"/>
  <c r="I23" i="1" s="1"/>
  <c r="K23" i="1" s="1"/>
  <c r="H24" i="1" s="1"/>
  <c r="I24" i="1" s="1"/>
  <c r="K24" i="1" s="1"/>
  <c r="H25" i="1" s="1"/>
  <c r="I25" i="1" s="1"/>
  <c r="K25" i="1" s="1"/>
  <c r="H26" i="1" s="1"/>
  <c r="I26" i="1" s="1"/>
  <c r="K26" i="1" s="1"/>
  <c r="H27" i="1" s="1"/>
  <c r="I16" i="2" l="1"/>
  <c r="K16" i="2" s="1"/>
  <c r="H17" i="2"/>
  <c r="M18" i="2"/>
  <c r="I27" i="1"/>
  <c r="K27" i="1" s="1"/>
  <c r="H28" i="1" s="1"/>
  <c r="I28" i="1" s="1"/>
  <c r="K28" i="1" s="1"/>
  <c r="M19" i="2" l="1"/>
  <c r="I17" i="2"/>
  <c r="K17" i="2" s="1"/>
  <c r="H18" i="2" s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I18" i="2" l="1"/>
  <c r="K18" i="2" s="1"/>
  <c r="H19" i="2" s="1"/>
  <c r="M20" i="2"/>
  <c r="O4" i="1"/>
  <c r="O29" i="1" s="1"/>
  <c r="I19" i="2" l="1"/>
  <c r="K19" i="2" s="1"/>
  <c r="H20" i="2"/>
  <c r="M21" i="2"/>
  <c r="M5" i="1"/>
  <c r="M6" i="1" s="1"/>
  <c r="M22" i="2" l="1"/>
  <c r="I20" i="2"/>
  <c r="K20" i="2" s="1"/>
  <c r="H21" i="2" s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I21" i="2" l="1"/>
  <c r="K21" i="2" s="1"/>
  <c r="H22" i="2" s="1"/>
  <c r="M23" i="2"/>
  <c r="M29" i="1"/>
  <c r="D14" i="1" s="1"/>
  <c r="D7" i="1" s="1"/>
  <c r="I22" i="2" l="1"/>
  <c r="K22" i="2" s="1"/>
  <c r="H23" i="2" s="1"/>
  <c r="M24" i="2"/>
  <c r="I23" i="2" l="1"/>
  <c r="K23" i="2" s="1"/>
  <c r="H24" i="2" s="1"/>
  <c r="M25" i="2"/>
  <c r="I24" i="2" l="1"/>
  <c r="K24" i="2" s="1"/>
  <c r="H25" i="2" s="1"/>
  <c r="M26" i="2"/>
  <c r="I25" i="2" l="1"/>
  <c r="K25" i="2" s="1"/>
  <c r="H26" i="2" s="1"/>
  <c r="M27" i="2"/>
  <c r="I26" i="2" l="1"/>
  <c r="K26" i="2" s="1"/>
  <c r="H27" i="2" s="1"/>
  <c r="M28" i="2"/>
  <c r="I27" i="2" l="1"/>
  <c r="K27" i="2" s="1"/>
  <c r="H28" i="2" s="1"/>
  <c r="I28" i="2" s="1"/>
  <c r="K28" i="2" s="1"/>
  <c r="M29" i="2"/>
  <c r="D14" i="2" s="1"/>
  <c r="L4" i="2" l="1"/>
  <c r="L5" i="2"/>
  <c r="O5" i="2" s="1"/>
  <c r="L6" i="2"/>
  <c r="O6" i="2" s="1"/>
  <c r="L7" i="2"/>
  <c r="O7" i="2" s="1"/>
  <c r="L8" i="2"/>
  <c r="O8" i="2" s="1"/>
  <c r="L9" i="2"/>
  <c r="O9" i="2" s="1"/>
  <c r="L10" i="2"/>
  <c r="O10" i="2" s="1"/>
  <c r="L11" i="2"/>
  <c r="O11" i="2" s="1"/>
  <c r="L12" i="2"/>
  <c r="O12" i="2" s="1"/>
  <c r="L13" i="2"/>
  <c r="O13" i="2" s="1"/>
  <c r="L14" i="2"/>
  <c r="O14" i="2" s="1"/>
  <c r="L15" i="2"/>
  <c r="O15" i="2" s="1"/>
  <c r="L16" i="2"/>
  <c r="O16" i="2" s="1"/>
  <c r="L17" i="2"/>
  <c r="O17" i="2" s="1"/>
  <c r="L18" i="2"/>
  <c r="O18" i="2" s="1"/>
  <c r="L19" i="2"/>
  <c r="O19" i="2" s="1"/>
  <c r="L20" i="2"/>
  <c r="O20" i="2" s="1"/>
  <c r="L21" i="2"/>
  <c r="O21" i="2" s="1"/>
  <c r="L22" i="2"/>
  <c r="O22" i="2" s="1"/>
  <c r="L23" i="2"/>
  <c r="O23" i="2" s="1"/>
  <c r="L24" i="2"/>
  <c r="O24" i="2" s="1"/>
  <c r="L25" i="2"/>
  <c r="O25" i="2" s="1"/>
  <c r="L26" i="2"/>
  <c r="O26" i="2" s="1"/>
  <c r="L27" i="2"/>
  <c r="O27" i="2" s="1"/>
  <c r="L28" i="2"/>
  <c r="O28" i="2" s="1"/>
  <c r="L29" i="2" l="1"/>
  <c r="O4" i="2"/>
  <c r="O29" i="2" s="1"/>
</calcChain>
</file>

<file path=xl/sharedStrings.xml><?xml version="1.0" encoding="utf-8"?>
<sst xmlns="http://schemas.openxmlformats.org/spreadsheetml/2006/main" count="66" uniqueCount="30">
  <si>
    <t>Камата</t>
  </si>
  <si>
    <t>Рок отплате</t>
  </si>
  <si>
    <t>Укупна инвестиција</t>
  </si>
  <si>
    <t>Откупна цијена</t>
  </si>
  <si>
    <t>Пад производње</t>
  </si>
  <si>
    <t>Трошкови одржања</t>
  </si>
  <si>
    <t>Годишња производња</t>
  </si>
  <si>
    <t>Рата</t>
  </si>
  <si>
    <t>Укупни трошкови за 25 год</t>
  </si>
  <si>
    <t>Укупна производња за 25 год</t>
  </si>
  <si>
    <t>Годишњи трошкови одржавања</t>
  </si>
  <si>
    <t>КМ</t>
  </si>
  <si>
    <t>kWh</t>
  </si>
  <si>
    <t>kWh/god</t>
  </si>
  <si>
    <t>Година</t>
  </si>
  <si>
    <t>KM</t>
  </si>
  <si>
    <t>Укупно</t>
  </si>
  <si>
    <t>KM/kWh</t>
  </si>
  <si>
    <t>ПЛАН ОТПЛАТЕ</t>
  </si>
  <si>
    <t>Годишња производња [kWh/god]</t>
  </si>
  <si>
    <t>Трошкови одржавања</t>
  </si>
  <si>
    <t>ПОДАЦИ</t>
  </si>
  <si>
    <t>Годишња производња [KM]</t>
  </si>
  <si>
    <t>Отплата [KM]</t>
  </si>
  <si>
    <t>Рата [KM]</t>
  </si>
  <si>
    <t>Камата [KM]</t>
  </si>
  <si>
    <t>Дуг [KM]</t>
  </si>
  <si>
    <t>Расходи [KM]</t>
  </si>
  <si>
    <t>Зарада [KM]</t>
  </si>
  <si>
    <t>god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</si>
</sst>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#,##0.00\ _K_M"/>
    <numFmt numFmtId="166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4" tint="0.499984740745262"/>
      </left>
      <right style="thick">
        <color theme="4" tint="0.499984740745262"/>
      </right>
      <top style="thick">
        <color theme="4" tint="0.499984740745262"/>
      </top>
      <bottom style="thick">
        <color theme="4" tint="0.499984740745262"/>
      </bottom>
      <diagonal/>
    </border>
    <border>
      <left style="thick">
        <color theme="4" tint="0.499984740745262"/>
      </left>
      <right/>
      <top style="thick">
        <color theme="4" tint="0.499984740745262"/>
      </top>
      <bottom style="thick">
        <color theme="4" tint="0.499984740745262"/>
      </bottom>
      <diagonal/>
    </border>
    <border>
      <left/>
      <right/>
      <top style="thick">
        <color theme="4" tint="0.499984740745262"/>
      </top>
      <bottom style="thick">
        <color theme="4" tint="0.499984740745262"/>
      </bottom>
      <diagonal/>
    </border>
    <border>
      <left/>
      <right style="thick">
        <color theme="4" tint="0.499984740745262"/>
      </right>
      <top style="thick">
        <color theme="4" tint="0.499984740745262"/>
      </top>
      <bottom style="thick">
        <color theme="4" tint="0.499984740745262"/>
      </bottom>
      <diagonal/>
    </border>
    <border>
      <left style="thick">
        <color theme="4" tint="0.499984740745262"/>
      </left>
      <right/>
      <top style="thick">
        <color theme="4" tint="0.499984740745262"/>
      </top>
      <bottom/>
      <diagonal/>
    </border>
    <border>
      <left/>
      <right/>
      <top style="thick">
        <color theme="4" tint="0.499984740745262"/>
      </top>
      <bottom/>
      <diagonal/>
    </border>
    <border>
      <left/>
      <right style="thick">
        <color theme="4" tint="0.499984740745262"/>
      </right>
      <top style="thick">
        <color theme="4" tint="0.499984740745262"/>
      </top>
      <bottom/>
      <diagonal/>
    </border>
    <border>
      <left style="thick">
        <color theme="4" tint="0.499984740745262"/>
      </left>
      <right/>
      <top/>
      <bottom style="thick">
        <color theme="4" tint="0.499984740745262"/>
      </bottom>
      <diagonal/>
    </border>
    <border>
      <left/>
      <right style="thick">
        <color theme="4" tint="0.499984740745262"/>
      </right>
      <top/>
      <bottom style="thick">
        <color theme="4" tint="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5">
    <xf numFmtId="0" fontId="0" fillId="0" borderId="0" xfId="0"/>
    <xf numFmtId="0" fontId="3" fillId="3" borderId="2" xfId="2" applyFont="1" applyFill="1" applyBorder="1" applyAlignment="1">
      <alignment vertical="center"/>
    </xf>
    <xf numFmtId="0" fontId="3" fillId="3" borderId="2" xfId="2" applyFont="1" applyFill="1" applyBorder="1" applyAlignment="1">
      <alignment vertical="center" wrapText="1"/>
    </xf>
    <xf numFmtId="0" fontId="3" fillId="3" borderId="2" xfId="2" applyFont="1" applyFill="1" applyBorder="1" applyAlignment="1">
      <alignment horizontal="left" vertical="center" wrapText="1"/>
    </xf>
    <xf numFmtId="0" fontId="3" fillId="3" borderId="2" xfId="2" applyFont="1" applyFill="1" applyBorder="1"/>
    <xf numFmtId="165" fontId="3" fillId="3" borderId="2" xfId="2" applyNumberFormat="1" applyFont="1" applyFill="1" applyBorder="1" applyAlignment="1">
      <alignment horizontal="right"/>
    </xf>
    <xf numFmtId="165" fontId="3" fillId="3" borderId="2" xfId="2" applyNumberFormat="1" applyFont="1" applyFill="1" applyBorder="1" applyAlignment="1">
      <alignment horizontal="left"/>
    </xf>
    <xf numFmtId="2" fontId="3" fillId="3" borderId="2" xfId="2" applyNumberFormat="1" applyFont="1" applyFill="1" applyBorder="1" applyAlignment="1">
      <alignment horizontal="left"/>
    </xf>
    <xf numFmtId="165" fontId="3" fillId="3" borderId="2" xfId="2" applyNumberFormat="1" applyFont="1" applyFill="1" applyBorder="1" applyAlignment="1">
      <alignment horizontal="right" vertical="center"/>
    </xf>
    <xf numFmtId="164" fontId="3" fillId="3" borderId="2" xfId="1" applyNumberFormat="1" applyFont="1" applyFill="1" applyBorder="1" applyAlignment="1">
      <alignment horizontal="left"/>
    </xf>
    <xf numFmtId="0" fontId="3" fillId="3" borderId="2" xfId="2" applyFont="1" applyFill="1" applyBorder="1" applyAlignment="1">
      <alignment horizontal="left"/>
    </xf>
    <xf numFmtId="39" fontId="3" fillId="3" borderId="2" xfId="2" applyNumberFormat="1" applyFont="1" applyFill="1" applyBorder="1" applyAlignment="1">
      <alignment horizontal="left"/>
    </xf>
    <xf numFmtId="10" fontId="3" fillId="3" borderId="2" xfId="2" applyNumberFormat="1" applyFont="1" applyFill="1" applyBorder="1" applyAlignment="1">
      <alignment horizontal="left"/>
    </xf>
    <xf numFmtId="166" fontId="3" fillId="3" borderId="2" xfId="2" applyNumberFormat="1" applyFont="1" applyFill="1" applyBorder="1" applyAlignment="1">
      <alignment horizontal="left"/>
    </xf>
    <xf numFmtId="0" fontId="3" fillId="2" borderId="2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/>
    </xf>
    <xf numFmtId="0" fontId="3" fillId="3" borderId="4" xfId="2" applyFont="1" applyFill="1" applyBorder="1" applyAlignment="1">
      <alignment horizontal="center"/>
    </xf>
    <xf numFmtId="0" fontId="3" fillId="3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center" vertical="center"/>
    </xf>
    <xf numFmtId="0" fontId="3" fillId="2" borderId="8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0" xfId="2" applyFont="1" applyFill="1" applyBorder="1" applyAlignment="1">
      <alignment horizontal="center" vertical="center"/>
    </xf>
  </cellXfs>
  <cellStyles count="3">
    <cellStyle name="Heading 2" xfId="2" builtinId="17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opLeftCell="A6" workbookViewId="0">
      <selection activeCell="C42" sqref="C42"/>
    </sheetView>
  </sheetViews>
  <sheetFormatPr defaultRowHeight="15" x14ac:dyDescent="0.25"/>
  <cols>
    <col min="3" max="3" width="14.5703125" customWidth="1"/>
    <col min="4" max="4" width="18.5703125" customWidth="1"/>
    <col min="5" max="5" width="10.5703125" bestFit="1" customWidth="1"/>
    <col min="7" max="7" width="7.7109375" customWidth="1"/>
    <col min="8" max="8" width="15.140625" customWidth="1"/>
    <col min="9" max="9" width="14" customWidth="1"/>
    <col min="10" max="10" width="14.85546875" customWidth="1"/>
    <col min="11" max="11" width="13.85546875" customWidth="1"/>
    <col min="12" max="12" width="14.85546875" customWidth="1"/>
    <col min="13" max="13" width="12.7109375" customWidth="1"/>
    <col min="14" max="14" width="11.42578125" customWidth="1"/>
    <col min="15" max="15" width="14.42578125" customWidth="1"/>
  </cols>
  <sheetData>
    <row r="1" spans="1:15" ht="16.5" customHeight="1" thickTop="1" thickBot="1" x14ac:dyDescent="0.3">
      <c r="G1" s="14" t="s">
        <v>18</v>
      </c>
      <c r="H1" s="14"/>
      <c r="I1" s="14"/>
      <c r="J1" s="14"/>
      <c r="K1" s="14"/>
      <c r="L1" s="14"/>
      <c r="M1" s="14"/>
      <c r="N1" s="14"/>
      <c r="O1" s="14"/>
    </row>
    <row r="2" spans="1:15" ht="15.75" customHeight="1" thickTop="1" thickBot="1" x14ac:dyDescent="0.3">
      <c r="A2" s="14" t="s">
        <v>21</v>
      </c>
      <c r="B2" s="14"/>
      <c r="C2" s="14"/>
      <c r="D2" s="14"/>
      <c r="E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46.5" thickTop="1" thickBot="1" x14ac:dyDescent="0.3">
      <c r="A3" s="14"/>
      <c r="B3" s="14"/>
      <c r="C3" s="14"/>
      <c r="D3" s="14"/>
      <c r="E3" s="14"/>
      <c r="G3" s="1" t="s">
        <v>14</v>
      </c>
      <c r="H3" s="1" t="s">
        <v>26</v>
      </c>
      <c r="I3" s="1" t="s">
        <v>25</v>
      </c>
      <c r="J3" s="1" t="s">
        <v>24</v>
      </c>
      <c r="K3" s="1" t="s">
        <v>23</v>
      </c>
      <c r="L3" s="2" t="s">
        <v>22</v>
      </c>
      <c r="M3" s="2" t="s">
        <v>19</v>
      </c>
      <c r="N3" s="3" t="s">
        <v>27</v>
      </c>
      <c r="O3" s="1" t="s">
        <v>28</v>
      </c>
    </row>
    <row r="4" spans="1:15" ht="16.5" thickTop="1" thickBot="1" x14ac:dyDescent="0.3">
      <c r="A4" s="15" t="s">
        <v>0</v>
      </c>
      <c r="B4" s="15"/>
      <c r="C4" s="15"/>
      <c r="D4" s="9">
        <v>3.5999999999999997E-2</v>
      </c>
      <c r="E4" s="4"/>
      <c r="G4" s="4">
        <v>1</v>
      </c>
      <c r="H4" s="5">
        <f>D6</f>
        <v>5200000</v>
      </c>
      <c r="I4" s="5">
        <f>H4*$D$4</f>
        <v>187200</v>
      </c>
      <c r="J4" s="5">
        <f>$D$11</f>
        <v>541288.29573273065</v>
      </c>
      <c r="K4" s="5">
        <f>$J$4-I4</f>
        <v>354088.29573273065</v>
      </c>
      <c r="L4" s="6">
        <f>M4*$D$7</f>
        <v>279057.27237725985</v>
      </c>
      <c r="M4" s="7">
        <f>D10</f>
        <v>2473511</v>
      </c>
      <c r="N4" s="6">
        <f>$D$15</f>
        <v>3120</v>
      </c>
      <c r="O4" s="6">
        <f>L4-J4-N4</f>
        <v>-265351.0233554708</v>
      </c>
    </row>
    <row r="5" spans="1:15" ht="16.5" thickTop="1" thickBot="1" x14ac:dyDescent="0.3">
      <c r="A5" s="15" t="s">
        <v>1</v>
      </c>
      <c r="B5" s="15"/>
      <c r="C5" s="15"/>
      <c r="D5" s="10">
        <v>12</v>
      </c>
      <c r="E5" s="4" t="s">
        <v>29</v>
      </c>
      <c r="G5" s="4">
        <v>2</v>
      </c>
      <c r="H5" s="5">
        <f>H4-K4</f>
        <v>4845911.704267269</v>
      </c>
      <c r="I5" s="5">
        <f t="shared" ref="I5:I28" si="0">H5*$D$4</f>
        <v>174452.82135362166</v>
      </c>
      <c r="J5" s="5">
        <f t="shared" ref="J5:J15" si="1">$D$11</f>
        <v>541288.29573273065</v>
      </c>
      <c r="K5" s="5">
        <f t="shared" ref="K5:K28" si="2">J5-I5</f>
        <v>366835.47437910899</v>
      </c>
      <c r="L5" s="6">
        <f t="shared" ref="L5:L28" si="3">M5*$D$7</f>
        <v>277661.98601537355</v>
      </c>
      <c r="M5" s="7">
        <f>M4-$D$8*M4</f>
        <v>2461143.4449999998</v>
      </c>
      <c r="N5" s="6">
        <f t="shared" ref="N5:N28" si="4">$D$15</f>
        <v>3120</v>
      </c>
      <c r="O5" s="6">
        <f t="shared" ref="O5:O28" si="5">L5-J5-N5</f>
        <v>-266746.3097173571</v>
      </c>
    </row>
    <row r="6" spans="1:15" ht="16.5" thickTop="1" thickBot="1" x14ac:dyDescent="0.3">
      <c r="A6" s="15" t="s">
        <v>2</v>
      </c>
      <c r="B6" s="15"/>
      <c r="C6" s="15"/>
      <c r="D6" s="11">
        <v>5200000</v>
      </c>
      <c r="E6" s="4" t="s">
        <v>11</v>
      </c>
      <c r="G6" s="4">
        <v>3</v>
      </c>
      <c r="H6" s="5">
        <f t="shared" ref="H6:H15" si="6">H5-K5</f>
        <v>4479076.2298881598</v>
      </c>
      <c r="I6" s="5">
        <f t="shared" si="0"/>
        <v>161246.74427597373</v>
      </c>
      <c r="J6" s="5">
        <f t="shared" si="1"/>
        <v>541288.29573273065</v>
      </c>
      <c r="K6" s="5">
        <f t="shared" si="2"/>
        <v>380041.55145675689</v>
      </c>
      <c r="L6" s="6">
        <f t="shared" si="3"/>
        <v>276273.67608529667</v>
      </c>
      <c r="M6" s="7">
        <f t="shared" ref="M6:M28" si="7">M5-$D$8*M5</f>
        <v>2448837.727775</v>
      </c>
      <c r="N6" s="6">
        <f t="shared" si="4"/>
        <v>3120</v>
      </c>
      <c r="O6" s="6">
        <f t="shared" si="5"/>
        <v>-268134.61964743398</v>
      </c>
    </row>
    <row r="7" spans="1:15" ht="16.5" thickTop="1" thickBot="1" x14ac:dyDescent="0.3">
      <c r="A7" s="15" t="s">
        <v>3</v>
      </c>
      <c r="B7" s="15"/>
      <c r="C7" s="15"/>
      <c r="D7" s="13">
        <f>D13/D14</f>
        <v>0.11281828638613689</v>
      </c>
      <c r="E7" s="4" t="s">
        <v>17</v>
      </c>
      <c r="G7" s="4">
        <v>4</v>
      </c>
      <c r="H7" s="5">
        <f t="shared" si="6"/>
        <v>4099034.6784314029</v>
      </c>
      <c r="I7" s="5">
        <f t="shared" si="0"/>
        <v>147565.24842353049</v>
      </c>
      <c r="J7" s="5">
        <f t="shared" si="1"/>
        <v>541288.29573273065</v>
      </c>
      <c r="K7" s="5">
        <f t="shared" si="2"/>
        <v>393723.04730920016</v>
      </c>
      <c r="L7" s="6">
        <f t="shared" si="3"/>
        <v>274892.30770487024</v>
      </c>
      <c r="M7" s="7">
        <f t="shared" si="7"/>
        <v>2436593.5391361252</v>
      </c>
      <c r="N7" s="6">
        <f t="shared" si="4"/>
        <v>3120</v>
      </c>
      <c r="O7" s="6">
        <f t="shared" si="5"/>
        <v>-269515.98802786041</v>
      </c>
    </row>
    <row r="8" spans="1:15" ht="16.5" thickTop="1" thickBot="1" x14ac:dyDescent="0.3">
      <c r="A8" s="15" t="s">
        <v>4</v>
      </c>
      <c r="B8" s="15"/>
      <c r="C8" s="15"/>
      <c r="D8" s="12">
        <v>5.0000000000000001E-3</v>
      </c>
      <c r="E8" s="4"/>
      <c r="G8" s="4">
        <v>5</v>
      </c>
      <c r="H8" s="5">
        <f t="shared" si="6"/>
        <v>3705311.6311222026</v>
      </c>
      <c r="I8" s="5">
        <f t="shared" si="0"/>
        <v>133391.21872039928</v>
      </c>
      <c r="J8" s="5">
        <f t="shared" si="1"/>
        <v>541288.29573273065</v>
      </c>
      <c r="K8" s="5">
        <f t="shared" si="2"/>
        <v>407897.07701233134</v>
      </c>
      <c r="L8" s="6">
        <f t="shared" si="3"/>
        <v>273517.84616634587</v>
      </c>
      <c r="M8" s="7">
        <f t="shared" si="7"/>
        <v>2424410.5714404448</v>
      </c>
      <c r="N8" s="6">
        <f t="shared" si="4"/>
        <v>3120</v>
      </c>
      <c r="O8" s="6">
        <f t="shared" si="5"/>
        <v>-270890.44956638478</v>
      </c>
    </row>
    <row r="9" spans="1:15" ht="16.5" thickTop="1" thickBot="1" x14ac:dyDescent="0.3">
      <c r="A9" s="15" t="s">
        <v>20</v>
      </c>
      <c r="B9" s="15"/>
      <c r="C9" s="15"/>
      <c r="D9" s="12">
        <v>1.4999999999999999E-2</v>
      </c>
      <c r="E9" s="4"/>
      <c r="G9" s="4">
        <v>6</v>
      </c>
      <c r="H9" s="5">
        <f t="shared" si="6"/>
        <v>3297414.5541098714</v>
      </c>
      <c r="I9" s="5">
        <f t="shared" si="0"/>
        <v>118706.92394795537</v>
      </c>
      <c r="J9" s="5">
        <f t="shared" si="1"/>
        <v>541288.29573273065</v>
      </c>
      <c r="K9" s="5">
        <f t="shared" si="2"/>
        <v>422581.37178477529</v>
      </c>
      <c r="L9" s="6">
        <f t="shared" si="3"/>
        <v>272150.25693551416</v>
      </c>
      <c r="M9" s="7">
        <f t="shared" si="7"/>
        <v>2412288.5185832428</v>
      </c>
      <c r="N9" s="6">
        <f t="shared" si="4"/>
        <v>3120</v>
      </c>
      <c r="O9" s="6">
        <f t="shared" si="5"/>
        <v>-272258.03879721649</v>
      </c>
    </row>
    <row r="10" spans="1:15" ht="16.5" thickTop="1" thickBot="1" x14ac:dyDescent="0.3">
      <c r="A10" s="15" t="s">
        <v>6</v>
      </c>
      <c r="B10" s="15"/>
      <c r="C10" s="15"/>
      <c r="D10" s="7">
        <v>2473511</v>
      </c>
      <c r="E10" s="4" t="s">
        <v>13</v>
      </c>
      <c r="G10" s="4">
        <v>7</v>
      </c>
      <c r="H10" s="5">
        <f t="shared" si="6"/>
        <v>2874833.1823250959</v>
      </c>
      <c r="I10" s="5">
        <f t="shared" si="0"/>
        <v>103493.99456370344</v>
      </c>
      <c r="J10" s="5">
        <f t="shared" si="1"/>
        <v>541288.29573273065</v>
      </c>
      <c r="K10" s="5">
        <f t="shared" si="2"/>
        <v>437794.30116902723</v>
      </c>
      <c r="L10" s="6">
        <f t="shared" si="3"/>
        <v>270789.50565083663</v>
      </c>
      <c r="M10" s="7">
        <f t="shared" si="7"/>
        <v>2400227.0759903267</v>
      </c>
      <c r="N10" s="6">
        <f t="shared" si="4"/>
        <v>3120</v>
      </c>
      <c r="O10" s="6">
        <f t="shared" si="5"/>
        <v>-273618.79008189403</v>
      </c>
    </row>
    <row r="11" spans="1:15" ht="16.5" thickTop="1" thickBot="1" x14ac:dyDescent="0.3">
      <c r="A11" s="15" t="s">
        <v>7</v>
      </c>
      <c r="B11" s="15"/>
      <c r="C11" s="15"/>
      <c r="D11" s="11">
        <f>-PMT(D4,D5,D6)</f>
        <v>541288.29573273065</v>
      </c>
      <c r="E11" s="4" t="s">
        <v>15</v>
      </c>
      <c r="G11" s="4">
        <v>8</v>
      </c>
      <c r="H11" s="5">
        <f t="shared" si="6"/>
        <v>2437038.8811560688</v>
      </c>
      <c r="I11" s="5">
        <f t="shared" si="0"/>
        <v>87733.399721618465</v>
      </c>
      <c r="J11" s="5">
        <f t="shared" si="1"/>
        <v>541288.29573273065</v>
      </c>
      <c r="K11" s="5">
        <f t="shared" si="2"/>
        <v>453554.8960111122</v>
      </c>
      <c r="L11" s="6">
        <f t="shared" si="3"/>
        <v>269435.55812258244</v>
      </c>
      <c r="M11" s="7">
        <f t="shared" si="7"/>
        <v>2388225.9406103753</v>
      </c>
      <c r="N11" s="6">
        <f t="shared" si="4"/>
        <v>3120</v>
      </c>
      <c r="O11" s="6">
        <f t="shared" si="5"/>
        <v>-274972.73761014821</v>
      </c>
    </row>
    <row r="12" spans="1:15" ht="16.5" thickTop="1" thickBot="1" x14ac:dyDescent="0.3">
      <c r="A12" s="15" t="s">
        <v>5</v>
      </c>
      <c r="B12" s="15"/>
      <c r="C12" s="15"/>
      <c r="D12" s="11">
        <f>D6*D9</f>
        <v>78000</v>
      </c>
      <c r="E12" s="4" t="s">
        <v>15</v>
      </c>
      <c r="G12" s="4">
        <v>9</v>
      </c>
      <c r="H12" s="5">
        <f t="shared" si="6"/>
        <v>1983483.9851449565</v>
      </c>
      <c r="I12" s="5">
        <f t="shared" si="0"/>
        <v>71405.423465218424</v>
      </c>
      <c r="J12" s="5">
        <f t="shared" si="1"/>
        <v>541288.29573273065</v>
      </c>
      <c r="K12" s="5">
        <f t="shared" si="2"/>
        <v>469882.87226751226</v>
      </c>
      <c r="L12" s="6">
        <f t="shared" si="3"/>
        <v>268088.38033196953</v>
      </c>
      <c r="M12" s="7">
        <f t="shared" si="7"/>
        <v>2376284.8109073234</v>
      </c>
      <c r="N12" s="6">
        <f t="shared" si="4"/>
        <v>3120</v>
      </c>
      <c r="O12" s="6">
        <f t="shared" si="5"/>
        <v>-276319.91540076112</v>
      </c>
    </row>
    <row r="13" spans="1:15" ht="16.5" thickTop="1" thickBot="1" x14ac:dyDescent="0.3">
      <c r="A13" s="15" t="s">
        <v>8</v>
      </c>
      <c r="B13" s="15"/>
      <c r="C13" s="15"/>
      <c r="D13" s="11">
        <f>J29+D12</f>
        <v>6573459.5487927692</v>
      </c>
      <c r="E13" s="4" t="s">
        <v>15</v>
      </c>
      <c r="G13" s="4">
        <v>10</v>
      </c>
      <c r="H13" s="5">
        <f t="shared" si="6"/>
        <v>1513601.1128774444</v>
      </c>
      <c r="I13" s="5">
        <f t="shared" si="0"/>
        <v>54489.640063587991</v>
      </c>
      <c r="J13" s="5">
        <f t="shared" si="1"/>
        <v>541288.29573273065</v>
      </c>
      <c r="K13" s="5">
        <f t="shared" si="2"/>
        <v>486798.65566914267</v>
      </c>
      <c r="L13" s="6">
        <f t="shared" si="3"/>
        <v>266747.9384303097</v>
      </c>
      <c r="M13" s="7">
        <f t="shared" si="7"/>
        <v>2364403.3868527869</v>
      </c>
      <c r="N13" s="6">
        <f t="shared" si="4"/>
        <v>3120</v>
      </c>
      <c r="O13" s="6">
        <f t="shared" si="5"/>
        <v>-277660.35730242095</v>
      </c>
    </row>
    <row r="14" spans="1:15" ht="16.5" thickTop="1" thickBot="1" x14ac:dyDescent="0.3">
      <c r="A14" s="15" t="s">
        <v>9</v>
      </c>
      <c r="B14" s="15"/>
      <c r="C14" s="15"/>
      <c r="D14" s="7">
        <f>M29</f>
        <v>58265904.928693511</v>
      </c>
      <c r="E14" s="4" t="s">
        <v>12</v>
      </c>
      <c r="G14" s="4">
        <v>11</v>
      </c>
      <c r="H14" s="5">
        <f t="shared" si="6"/>
        <v>1026802.4572083016</v>
      </c>
      <c r="I14" s="5">
        <f t="shared" si="0"/>
        <v>36964.888459498856</v>
      </c>
      <c r="J14" s="5">
        <f t="shared" si="1"/>
        <v>541288.29573273065</v>
      </c>
      <c r="K14" s="5">
        <f t="shared" si="2"/>
        <v>504323.40727323177</v>
      </c>
      <c r="L14" s="6">
        <f t="shared" si="3"/>
        <v>265414.19873815816</v>
      </c>
      <c r="M14" s="7">
        <f t="shared" si="7"/>
        <v>2352581.3699185229</v>
      </c>
      <c r="N14" s="6">
        <f t="shared" si="4"/>
        <v>3120</v>
      </c>
      <c r="O14" s="6">
        <f t="shared" si="5"/>
        <v>-278994.09699457249</v>
      </c>
    </row>
    <row r="15" spans="1:15" ht="16.5" thickTop="1" thickBot="1" x14ac:dyDescent="0.3">
      <c r="A15" s="15" t="s">
        <v>10</v>
      </c>
      <c r="B15" s="15"/>
      <c r="C15" s="15"/>
      <c r="D15" s="11">
        <f>D12/25</f>
        <v>3120</v>
      </c>
      <c r="E15" s="4" t="s">
        <v>15</v>
      </c>
      <c r="G15" s="4">
        <v>12</v>
      </c>
      <c r="H15" s="5">
        <f t="shared" si="6"/>
        <v>522479.04993506987</v>
      </c>
      <c r="I15" s="5">
        <f t="shared" si="0"/>
        <v>18809.245797662516</v>
      </c>
      <c r="J15" s="5">
        <f t="shared" si="1"/>
        <v>541288.29573273065</v>
      </c>
      <c r="K15" s="5">
        <f t="shared" si="2"/>
        <v>522479.04993506812</v>
      </c>
      <c r="L15" s="6">
        <f t="shared" si="3"/>
        <v>264087.12774446741</v>
      </c>
      <c r="M15" s="7">
        <f t="shared" si="7"/>
        <v>2340818.4630689304</v>
      </c>
      <c r="N15" s="6">
        <f t="shared" si="4"/>
        <v>3120</v>
      </c>
      <c r="O15" s="6">
        <f t="shared" si="5"/>
        <v>-280321.16798826325</v>
      </c>
    </row>
    <row r="16" spans="1:15" ht="16.5" thickTop="1" thickBot="1" x14ac:dyDescent="0.3">
      <c r="G16" s="4">
        <v>13</v>
      </c>
      <c r="H16" s="5">
        <f>H15-K15</f>
        <v>1.7462298274040222E-9</v>
      </c>
      <c r="I16" s="5">
        <f t="shared" si="0"/>
        <v>6.2864273786544791E-11</v>
      </c>
      <c r="J16" s="8">
        <v>0</v>
      </c>
      <c r="K16" s="8">
        <f>J16-I16</f>
        <v>-6.2864273786544791E-11</v>
      </c>
      <c r="L16" s="6">
        <f t="shared" si="3"/>
        <v>262766.69210574508</v>
      </c>
      <c r="M16" s="7">
        <f t="shared" si="7"/>
        <v>2329114.3707535858</v>
      </c>
      <c r="N16" s="6">
        <f t="shared" si="4"/>
        <v>3120</v>
      </c>
      <c r="O16" s="6">
        <f t="shared" si="5"/>
        <v>259646.69210574508</v>
      </c>
    </row>
    <row r="17" spans="7:15" ht="16.5" thickTop="1" thickBot="1" x14ac:dyDescent="0.3">
      <c r="G17" s="4">
        <v>14</v>
      </c>
      <c r="H17" s="5">
        <f>H16-K16</f>
        <v>1.8090941011905669E-9</v>
      </c>
      <c r="I17" s="5">
        <f t="shared" si="0"/>
        <v>6.5127387642860405E-11</v>
      </c>
      <c r="J17" s="8">
        <v>0</v>
      </c>
      <c r="K17" s="8">
        <f t="shared" si="2"/>
        <v>-6.5127387642860405E-11</v>
      </c>
      <c r="L17" s="6">
        <f t="shared" si="3"/>
        <v>261452.85864521633</v>
      </c>
      <c r="M17" s="7">
        <f t="shared" si="7"/>
        <v>2317468.7988998177</v>
      </c>
      <c r="N17" s="6">
        <f t="shared" si="4"/>
        <v>3120</v>
      </c>
      <c r="O17" s="6">
        <f t="shared" si="5"/>
        <v>258332.85864521633</v>
      </c>
    </row>
    <row r="18" spans="7:15" ht="16.5" thickTop="1" thickBot="1" x14ac:dyDescent="0.3">
      <c r="G18" s="4">
        <v>15</v>
      </c>
      <c r="H18" s="5">
        <f t="shared" ref="H18:H28" si="8">H17-K17</f>
        <v>1.8742214888334272E-9</v>
      </c>
      <c r="I18" s="5">
        <f t="shared" si="0"/>
        <v>6.747197359800337E-11</v>
      </c>
      <c r="J18" s="8">
        <v>0</v>
      </c>
      <c r="K18" s="8">
        <f t="shared" si="2"/>
        <v>-6.747197359800337E-11</v>
      </c>
      <c r="L18" s="6">
        <f t="shared" si="3"/>
        <v>260145.59435199024</v>
      </c>
      <c r="M18" s="7">
        <f t="shared" si="7"/>
        <v>2305881.4549053186</v>
      </c>
      <c r="N18" s="6">
        <f t="shared" si="4"/>
        <v>3120</v>
      </c>
      <c r="O18" s="6">
        <f t="shared" si="5"/>
        <v>257025.59435199024</v>
      </c>
    </row>
    <row r="19" spans="7:15" ht="16.5" thickTop="1" thickBot="1" x14ac:dyDescent="0.3">
      <c r="G19" s="4">
        <v>16</v>
      </c>
      <c r="H19" s="5">
        <f t="shared" si="8"/>
        <v>1.9416934624314307E-9</v>
      </c>
      <c r="I19" s="5">
        <f t="shared" si="0"/>
        <v>6.9900964647531498E-11</v>
      </c>
      <c r="J19" s="8">
        <v>0</v>
      </c>
      <c r="K19" s="8">
        <f t="shared" si="2"/>
        <v>-6.9900964647531498E-11</v>
      </c>
      <c r="L19" s="6">
        <f t="shared" si="3"/>
        <v>258844.86638023029</v>
      </c>
      <c r="M19" s="7">
        <f t="shared" si="7"/>
        <v>2294352.047630792</v>
      </c>
      <c r="N19" s="6">
        <f t="shared" si="4"/>
        <v>3120</v>
      </c>
      <c r="O19" s="6">
        <f t="shared" si="5"/>
        <v>255724.86638023029</v>
      </c>
    </row>
    <row r="20" spans="7:15" ht="16.5" thickTop="1" thickBot="1" x14ac:dyDescent="0.3">
      <c r="G20" s="4">
        <v>17</v>
      </c>
      <c r="H20" s="5">
        <f t="shared" si="8"/>
        <v>2.011594427078962E-9</v>
      </c>
      <c r="I20" s="5">
        <f t="shared" si="0"/>
        <v>7.2417399374842631E-11</v>
      </c>
      <c r="J20" s="8">
        <v>0</v>
      </c>
      <c r="K20" s="8">
        <f t="shared" si="2"/>
        <v>-7.2417399374842631E-11</v>
      </c>
      <c r="L20" s="6">
        <f t="shared" si="3"/>
        <v>257550.64204832914</v>
      </c>
      <c r="M20" s="7">
        <f t="shared" si="7"/>
        <v>2282880.2873926382</v>
      </c>
      <c r="N20" s="6">
        <f t="shared" si="4"/>
        <v>3120</v>
      </c>
      <c r="O20" s="6">
        <f t="shared" si="5"/>
        <v>254430.64204832914</v>
      </c>
    </row>
    <row r="21" spans="7:15" ht="16.5" thickTop="1" thickBot="1" x14ac:dyDescent="0.3">
      <c r="G21" s="4">
        <v>18</v>
      </c>
      <c r="H21" s="5">
        <f t="shared" si="8"/>
        <v>2.0840118264538045E-9</v>
      </c>
      <c r="I21" s="5">
        <f t="shared" si="0"/>
        <v>7.5024425752336954E-11</v>
      </c>
      <c r="J21" s="8">
        <v>0</v>
      </c>
      <c r="K21" s="8">
        <f t="shared" si="2"/>
        <v>-7.5024425752336954E-11</v>
      </c>
      <c r="L21" s="6">
        <f t="shared" si="3"/>
        <v>256262.8888380875</v>
      </c>
      <c r="M21" s="7">
        <f t="shared" si="7"/>
        <v>2271465.885955675</v>
      </c>
      <c r="N21" s="6">
        <f t="shared" si="4"/>
        <v>3120</v>
      </c>
      <c r="O21" s="6">
        <f t="shared" si="5"/>
        <v>253142.8888380875</v>
      </c>
    </row>
    <row r="22" spans="7:15" ht="16.5" thickTop="1" thickBot="1" x14ac:dyDescent="0.3">
      <c r="G22" s="4">
        <v>19</v>
      </c>
      <c r="H22" s="5">
        <f t="shared" si="8"/>
        <v>2.1590362522061416E-9</v>
      </c>
      <c r="I22" s="5">
        <f t="shared" si="0"/>
        <v>7.7725305079421097E-11</v>
      </c>
      <c r="J22" s="8">
        <v>0</v>
      </c>
      <c r="K22" s="8">
        <f t="shared" si="2"/>
        <v>-7.7725305079421097E-11</v>
      </c>
      <c r="L22" s="6">
        <f t="shared" si="3"/>
        <v>254981.57439389708</v>
      </c>
      <c r="M22" s="7">
        <f t="shared" si="7"/>
        <v>2260108.5565258968</v>
      </c>
      <c r="N22" s="6">
        <f t="shared" si="4"/>
        <v>3120</v>
      </c>
      <c r="O22" s="6">
        <f t="shared" si="5"/>
        <v>251861.57439389708</v>
      </c>
    </row>
    <row r="23" spans="7:15" ht="16.5" thickTop="1" thickBot="1" x14ac:dyDescent="0.3">
      <c r="G23" s="4">
        <v>20</v>
      </c>
      <c r="H23" s="5">
        <f t="shared" si="8"/>
        <v>2.2367615572855625E-9</v>
      </c>
      <c r="I23" s="5">
        <f t="shared" si="0"/>
        <v>8.0523416062280242E-11</v>
      </c>
      <c r="J23" s="8">
        <v>0</v>
      </c>
      <c r="K23" s="8">
        <f t="shared" si="2"/>
        <v>-8.0523416062280242E-11</v>
      </c>
      <c r="L23" s="6">
        <f t="shared" si="3"/>
        <v>253706.6665219276</v>
      </c>
      <c r="M23" s="7">
        <f t="shared" si="7"/>
        <v>2248808.0137432674</v>
      </c>
      <c r="N23" s="6">
        <f t="shared" si="4"/>
        <v>3120</v>
      </c>
      <c r="O23" s="6">
        <f t="shared" si="5"/>
        <v>250586.6665219276</v>
      </c>
    </row>
    <row r="24" spans="7:15" ht="16.5" thickTop="1" thickBot="1" x14ac:dyDescent="0.3">
      <c r="G24" s="4">
        <v>21</v>
      </c>
      <c r="H24" s="5">
        <f t="shared" si="8"/>
        <v>2.3172849733478428E-9</v>
      </c>
      <c r="I24" s="5">
        <f t="shared" si="0"/>
        <v>8.3422259040522337E-11</v>
      </c>
      <c r="J24" s="8">
        <v>0</v>
      </c>
      <c r="K24" s="8">
        <f t="shared" si="2"/>
        <v>-8.3422259040522337E-11</v>
      </c>
      <c r="L24" s="6">
        <f t="shared" si="3"/>
        <v>252438.13318931797</v>
      </c>
      <c r="M24" s="7">
        <f t="shared" si="7"/>
        <v>2237563.9736745511</v>
      </c>
      <c r="N24" s="6">
        <f t="shared" si="4"/>
        <v>3120</v>
      </c>
      <c r="O24" s="6">
        <f t="shared" si="5"/>
        <v>249318.13318931797</v>
      </c>
    </row>
    <row r="25" spans="7:15" ht="16.5" thickTop="1" thickBot="1" x14ac:dyDescent="0.3">
      <c r="G25" s="4">
        <v>22</v>
      </c>
      <c r="H25" s="5">
        <f t="shared" si="8"/>
        <v>2.4007072323883653E-9</v>
      </c>
      <c r="I25" s="5">
        <f t="shared" si="0"/>
        <v>8.6425460365981146E-11</v>
      </c>
      <c r="J25" s="8">
        <v>0</v>
      </c>
      <c r="K25" s="8">
        <f t="shared" si="2"/>
        <v>-8.6425460365981146E-11</v>
      </c>
      <c r="L25" s="6">
        <f t="shared" si="3"/>
        <v>251175.94252337137</v>
      </c>
      <c r="M25" s="7">
        <f t="shared" si="7"/>
        <v>2226376.1538061784</v>
      </c>
      <c r="N25" s="6">
        <f t="shared" si="4"/>
        <v>3120</v>
      </c>
      <c r="O25" s="6">
        <f t="shared" si="5"/>
        <v>248055.94252337137</v>
      </c>
    </row>
    <row r="26" spans="7:15" ht="16.5" thickTop="1" thickBot="1" x14ac:dyDescent="0.3">
      <c r="G26" s="4">
        <v>23</v>
      </c>
      <c r="H26" s="5">
        <f t="shared" si="8"/>
        <v>2.4871326927543465E-9</v>
      </c>
      <c r="I26" s="5">
        <f t="shared" si="0"/>
        <v>8.9536776939156461E-11</v>
      </c>
      <c r="J26" s="8">
        <v>0</v>
      </c>
      <c r="K26" s="8">
        <f t="shared" si="2"/>
        <v>-8.9536776939156461E-11</v>
      </c>
      <c r="L26" s="6">
        <f t="shared" si="3"/>
        <v>249920.06281075449</v>
      </c>
      <c r="M26" s="7">
        <f t="shared" si="7"/>
        <v>2215244.2730371472</v>
      </c>
      <c r="N26" s="6">
        <f t="shared" si="4"/>
        <v>3120</v>
      </c>
      <c r="O26" s="6">
        <f t="shared" si="5"/>
        <v>246800.06281075449</v>
      </c>
    </row>
    <row r="27" spans="7:15" ht="16.5" thickTop="1" thickBot="1" x14ac:dyDescent="0.3">
      <c r="G27" s="4">
        <v>24</v>
      </c>
      <c r="H27" s="5">
        <f t="shared" si="8"/>
        <v>2.576669469693503E-9</v>
      </c>
      <c r="I27" s="5">
        <f t="shared" si="0"/>
        <v>9.2760100908966096E-11</v>
      </c>
      <c r="J27" s="8">
        <v>0</v>
      </c>
      <c r="K27" s="8">
        <f t="shared" si="2"/>
        <v>-9.2760100908966096E-11</v>
      </c>
      <c r="L27" s="6">
        <f t="shared" si="3"/>
        <v>248670.4624967007</v>
      </c>
      <c r="M27" s="7">
        <f t="shared" si="7"/>
        <v>2204168.0516719613</v>
      </c>
      <c r="N27" s="6">
        <f t="shared" si="4"/>
        <v>3120</v>
      </c>
      <c r="O27" s="6">
        <f t="shared" si="5"/>
        <v>245550.4624967007</v>
      </c>
    </row>
    <row r="28" spans="7:15" ht="16.5" thickTop="1" thickBot="1" x14ac:dyDescent="0.3">
      <c r="G28" s="4">
        <v>25</v>
      </c>
      <c r="H28" s="5">
        <f t="shared" si="8"/>
        <v>2.669429570602469E-9</v>
      </c>
      <c r="I28" s="5">
        <f t="shared" si="0"/>
        <v>9.6099464541688876E-11</v>
      </c>
      <c r="J28" s="8">
        <v>0</v>
      </c>
      <c r="K28" s="8">
        <f t="shared" si="2"/>
        <v>-9.6099464541688876E-11</v>
      </c>
      <c r="L28" s="6">
        <f t="shared" si="3"/>
        <v>247427.11018421719</v>
      </c>
      <c r="M28" s="7">
        <f t="shared" si="7"/>
        <v>2193147.2114136014</v>
      </c>
      <c r="N28" s="6">
        <f t="shared" si="4"/>
        <v>3120</v>
      </c>
      <c r="O28" s="6">
        <f t="shared" si="5"/>
        <v>244307.11018421719</v>
      </c>
    </row>
    <row r="29" spans="7:15" ht="16.5" thickTop="1" thickBot="1" x14ac:dyDescent="0.3">
      <c r="G29" s="4" t="s">
        <v>16</v>
      </c>
      <c r="H29" s="5"/>
      <c r="I29" s="5"/>
      <c r="J29" s="5">
        <f>SUM(J4:J28)</f>
        <v>6495459.5487927692</v>
      </c>
      <c r="K29" s="5"/>
      <c r="L29" s="6">
        <f>SUM(L4:L28)</f>
        <v>6573459.5487927683</v>
      </c>
      <c r="M29" s="7">
        <f>SUM(M4:M28)</f>
        <v>58265904.928693511</v>
      </c>
      <c r="N29" s="6"/>
      <c r="O29" s="6">
        <f>SUM(O4:O28)</f>
        <v>1.8335413187742233E-9</v>
      </c>
    </row>
    <row r="30" spans="7:15" ht="15.75" thickTop="1" x14ac:dyDescent="0.25"/>
  </sheetData>
  <mergeCells count="14">
    <mergeCell ref="G1:O2"/>
    <mergeCell ref="A15:C15"/>
    <mergeCell ref="A9:C9"/>
    <mergeCell ref="A10:C10"/>
    <mergeCell ref="A11:C11"/>
    <mergeCell ref="A12:C12"/>
    <mergeCell ref="A13:C13"/>
    <mergeCell ref="A14:C14"/>
    <mergeCell ref="A2:E3"/>
    <mergeCell ref="A4:C4"/>
    <mergeCell ref="A5:C5"/>
    <mergeCell ref="A6:C6"/>
    <mergeCell ref="A7:C7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P7" sqref="P7"/>
    </sheetView>
  </sheetViews>
  <sheetFormatPr defaultRowHeight="15" x14ac:dyDescent="0.25"/>
  <cols>
    <col min="4" max="4" width="15.28515625" bestFit="1" customWidth="1"/>
    <col min="7" max="7" width="7.5703125" bestFit="1" customWidth="1"/>
    <col min="8" max="8" width="15.28515625" bestFit="1" customWidth="1"/>
    <col min="9" max="9" width="13.7109375" bestFit="1" customWidth="1"/>
    <col min="10" max="10" width="15.28515625" bestFit="1" customWidth="1"/>
    <col min="11" max="11" width="13.7109375" bestFit="1" customWidth="1"/>
    <col min="12" max="12" width="16.28515625" bestFit="1" customWidth="1"/>
    <col min="13" max="13" width="13" customWidth="1"/>
    <col min="14" max="14" width="11.5703125" bestFit="1" customWidth="1"/>
    <col min="15" max="15" width="15.28515625" bestFit="1" customWidth="1"/>
  </cols>
  <sheetData>
    <row r="1" spans="1:15" ht="16.5" thickTop="1" thickBot="1" x14ac:dyDescent="0.3">
      <c r="G1" s="19" t="s">
        <v>18</v>
      </c>
      <c r="H1" s="20"/>
      <c r="I1" s="20"/>
      <c r="J1" s="20"/>
      <c r="K1" s="20"/>
      <c r="L1" s="20"/>
      <c r="M1" s="20"/>
      <c r="N1" s="20"/>
      <c r="O1" s="21"/>
    </row>
    <row r="2" spans="1:15" ht="16.5" thickTop="1" thickBot="1" x14ac:dyDescent="0.3">
      <c r="A2" s="19" t="s">
        <v>21</v>
      </c>
      <c r="B2" s="20"/>
      <c r="C2" s="20"/>
      <c r="D2" s="20"/>
      <c r="E2" s="21"/>
      <c r="G2" s="22"/>
      <c r="H2" s="23"/>
      <c r="I2" s="23"/>
      <c r="J2" s="23"/>
      <c r="K2" s="23"/>
      <c r="L2" s="23"/>
      <c r="M2" s="23"/>
      <c r="N2" s="23"/>
      <c r="O2" s="24"/>
    </row>
    <row r="3" spans="1:15" ht="91.5" customHeight="1" thickTop="1" thickBot="1" x14ac:dyDescent="0.3">
      <c r="A3" s="22"/>
      <c r="B3" s="23"/>
      <c r="C3" s="23"/>
      <c r="D3" s="23"/>
      <c r="E3" s="24"/>
      <c r="G3" s="1" t="s">
        <v>14</v>
      </c>
      <c r="H3" s="1" t="s">
        <v>26</v>
      </c>
      <c r="I3" s="1" t="s">
        <v>25</v>
      </c>
      <c r="J3" s="1" t="s">
        <v>24</v>
      </c>
      <c r="K3" s="1" t="s">
        <v>23</v>
      </c>
      <c r="L3" s="2" t="s">
        <v>22</v>
      </c>
      <c r="M3" s="2" t="s">
        <v>19</v>
      </c>
      <c r="N3" s="3" t="s">
        <v>27</v>
      </c>
      <c r="O3" s="1" t="s">
        <v>28</v>
      </c>
    </row>
    <row r="4" spans="1:15" ht="16.5" thickTop="1" thickBot="1" x14ac:dyDescent="0.3">
      <c r="A4" s="16" t="s">
        <v>0</v>
      </c>
      <c r="B4" s="17"/>
      <c r="C4" s="18"/>
      <c r="D4" s="9">
        <v>3.5999999999999997E-2</v>
      </c>
      <c r="E4" s="4"/>
      <c r="G4" s="4">
        <v>1</v>
      </c>
      <c r="H4" s="5">
        <f>D6</f>
        <v>5200000</v>
      </c>
      <c r="I4" s="5">
        <f>H4*$D$4</f>
        <v>187200</v>
      </c>
      <c r="J4" s="5">
        <f>$D$11</f>
        <v>541288.29573273065</v>
      </c>
      <c r="K4" s="5">
        <f>$J$4-I4</f>
        <v>354088.29573273065</v>
      </c>
      <c r="L4" s="6">
        <f>M4*$D$7</f>
        <v>575269.13026745094</v>
      </c>
      <c r="M4" s="7">
        <f>D10</f>
        <v>2473511</v>
      </c>
      <c r="N4" s="6">
        <f>$D$15</f>
        <v>3120</v>
      </c>
      <c r="O4" s="6">
        <f>L4-J4-N4</f>
        <v>30860.834534720285</v>
      </c>
    </row>
    <row r="5" spans="1:15" ht="16.5" thickTop="1" thickBot="1" x14ac:dyDescent="0.3">
      <c r="A5" s="16" t="s">
        <v>1</v>
      </c>
      <c r="B5" s="17"/>
      <c r="C5" s="18"/>
      <c r="D5" s="10">
        <v>12</v>
      </c>
      <c r="E5" s="4" t="s">
        <v>29</v>
      </c>
      <c r="G5" s="4">
        <v>2</v>
      </c>
      <c r="H5" s="5">
        <f>H4-K4</f>
        <v>4845911.704267269</v>
      </c>
      <c r="I5" s="5">
        <f t="shared" ref="I5:I28" si="0">H5*$D$4</f>
        <v>174452.82135362166</v>
      </c>
      <c r="J5" s="5">
        <f t="shared" ref="J5:J15" si="1">$D$11</f>
        <v>541288.29573273065</v>
      </c>
      <c r="K5" s="5">
        <f t="shared" ref="K5:K28" si="2">J5-I5</f>
        <v>366835.47437910899</v>
      </c>
      <c r="L5" s="6">
        <f t="shared" ref="L5:L28" si="3">M5*$D$7</f>
        <v>572392.78461611364</v>
      </c>
      <c r="M5" s="7">
        <f>M4-$D$8*M4</f>
        <v>2461143.4449999998</v>
      </c>
      <c r="N5" s="6">
        <f t="shared" ref="N5:N28" si="4">$D$15</f>
        <v>3120</v>
      </c>
      <c r="O5" s="6">
        <f t="shared" ref="O5:O28" si="5">L5-J5-N5</f>
        <v>27984.48888338299</v>
      </c>
    </row>
    <row r="6" spans="1:15" ht="16.5" thickTop="1" thickBot="1" x14ac:dyDescent="0.3">
      <c r="A6" s="16" t="s">
        <v>2</v>
      </c>
      <c r="B6" s="17"/>
      <c r="C6" s="18"/>
      <c r="D6" s="11">
        <v>5200000</v>
      </c>
      <c r="E6" s="4" t="s">
        <v>11</v>
      </c>
      <c r="G6" s="4">
        <v>3</v>
      </c>
      <c r="H6" s="5">
        <f t="shared" ref="H6:H15" si="6">H5-K5</f>
        <v>4479076.2298881598</v>
      </c>
      <c r="I6" s="5">
        <f t="shared" si="0"/>
        <v>161246.74427597373</v>
      </c>
      <c r="J6" s="5">
        <f t="shared" si="1"/>
        <v>541288.29573273065</v>
      </c>
      <c r="K6" s="5">
        <f t="shared" si="2"/>
        <v>380041.55145675689</v>
      </c>
      <c r="L6" s="6">
        <f t="shared" si="3"/>
        <v>569530.82069303305</v>
      </c>
      <c r="M6" s="7">
        <f t="shared" ref="M6:M28" si="7">M5-$D$8*M5</f>
        <v>2448837.727775</v>
      </c>
      <c r="N6" s="6">
        <f t="shared" si="4"/>
        <v>3120</v>
      </c>
      <c r="O6" s="6">
        <f t="shared" si="5"/>
        <v>25122.524960302399</v>
      </c>
    </row>
    <row r="7" spans="1:15" ht="16.5" thickTop="1" thickBot="1" x14ac:dyDescent="0.3">
      <c r="A7" s="16" t="s">
        <v>3</v>
      </c>
      <c r="B7" s="17"/>
      <c r="C7" s="18"/>
      <c r="D7" s="13">
        <v>0.23257189083349575</v>
      </c>
      <c r="E7" s="4" t="s">
        <v>17</v>
      </c>
      <c r="G7" s="4">
        <v>4</v>
      </c>
      <c r="H7" s="5">
        <f t="shared" si="6"/>
        <v>4099034.6784314029</v>
      </c>
      <c r="I7" s="5">
        <f t="shared" si="0"/>
        <v>147565.24842353049</v>
      </c>
      <c r="J7" s="5">
        <f t="shared" si="1"/>
        <v>541288.29573273065</v>
      </c>
      <c r="K7" s="5">
        <f t="shared" si="2"/>
        <v>393723.04730920016</v>
      </c>
      <c r="L7" s="6">
        <f t="shared" si="3"/>
        <v>566683.16658956802</v>
      </c>
      <c r="M7" s="7">
        <f t="shared" si="7"/>
        <v>2436593.5391361252</v>
      </c>
      <c r="N7" s="6">
        <f t="shared" si="4"/>
        <v>3120</v>
      </c>
      <c r="O7" s="6">
        <f t="shared" si="5"/>
        <v>22274.87085683737</v>
      </c>
    </row>
    <row r="8" spans="1:15" ht="16.5" thickTop="1" thickBot="1" x14ac:dyDescent="0.3">
      <c r="A8" s="16" t="s">
        <v>4</v>
      </c>
      <c r="B8" s="17"/>
      <c r="C8" s="18"/>
      <c r="D8" s="12">
        <v>5.0000000000000001E-3</v>
      </c>
      <c r="E8" s="4"/>
      <c r="G8" s="4">
        <v>5</v>
      </c>
      <c r="H8" s="5">
        <f t="shared" si="6"/>
        <v>3705311.6311222026</v>
      </c>
      <c r="I8" s="5">
        <f t="shared" si="0"/>
        <v>133391.21872039928</v>
      </c>
      <c r="J8" s="5">
        <f t="shared" si="1"/>
        <v>541288.29573273065</v>
      </c>
      <c r="K8" s="5">
        <f t="shared" si="2"/>
        <v>407897.07701233134</v>
      </c>
      <c r="L8" s="6">
        <f t="shared" si="3"/>
        <v>563849.7507566202</v>
      </c>
      <c r="M8" s="7">
        <f t="shared" si="7"/>
        <v>2424410.5714404448</v>
      </c>
      <c r="N8" s="6">
        <f t="shared" si="4"/>
        <v>3120</v>
      </c>
      <c r="O8" s="6">
        <f t="shared" si="5"/>
        <v>19441.455023889546</v>
      </c>
    </row>
    <row r="9" spans="1:15" ht="16.5" thickTop="1" thickBot="1" x14ac:dyDescent="0.3">
      <c r="A9" s="16" t="s">
        <v>20</v>
      </c>
      <c r="B9" s="17"/>
      <c r="C9" s="18"/>
      <c r="D9" s="12">
        <v>1.4999999999999999E-2</v>
      </c>
      <c r="E9" s="4"/>
      <c r="G9" s="4">
        <v>6</v>
      </c>
      <c r="H9" s="5">
        <f t="shared" si="6"/>
        <v>3297414.5541098714</v>
      </c>
      <c r="I9" s="5">
        <f t="shared" si="0"/>
        <v>118706.92394795537</v>
      </c>
      <c r="J9" s="5">
        <f t="shared" si="1"/>
        <v>541288.29573273065</v>
      </c>
      <c r="K9" s="5">
        <f t="shared" si="2"/>
        <v>422581.37178477529</v>
      </c>
      <c r="L9" s="6">
        <f t="shared" si="3"/>
        <v>561030.50200283714</v>
      </c>
      <c r="M9" s="7">
        <f t="shared" si="7"/>
        <v>2412288.5185832428</v>
      </c>
      <c r="N9" s="6">
        <f t="shared" si="4"/>
        <v>3120</v>
      </c>
      <c r="O9" s="6">
        <f t="shared" si="5"/>
        <v>16622.206270106486</v>
      </c>
    </row>
    <row r="10" spans="1:15" ht="16.5" thickTop="1" thickBot="1" x14ac:dyDescent="0.3">
      <c r="A10" s="16" t="s">
        <v>6</v>
      </c>
      <c r="B10" s="17"/>
      <c r="C10" s="18"/>
      <c r="D10" s="7">
        <v>2473511</v>
      </c>
      <c r="E10" s="4" t="s">
        <v>13</v>
      </c>
      <c r="G10" s="4">
        <v>7</v>
      </c>
      <c r="H10" s="5">
        <f t="shared" si="6"/>
        <v>2874833.1823250959</v>
      </c>
      <c r="I10" s="5">
        <f t="shared" si="0"/>
        <v>103493.99456370344</v>
      </c>
      <c r="J10" s="5">
        <f t="shared" si="1"/>
        <v>541288.29573273065</v>
      </c>
      <c r="K10" s="5">
        <f t="shared" si="2"/>
        <v>437794.30116902723</v>
      </c>
      <c r="L10" s="6">
        <f t="shared" si="3"/>
        <v>558225.34949282301</v>
      </c>
      <c r="M10" s="7">
        <f t="shared" si="7"/>
        <v>2400227.0759903267</v>
      </c>
      <c r="N10" s="6">
        <f t="shared" si="4"/>
        <v>3120</v>
      </c>
      <c r="O10" s="6">
        <f t="shared" si="5"/>
        <v>13817.053760092356</v>
      </c>
    </row>
    <row r="11" spans="1:15" ht="16.5" thickTop="1" thickBot="1" x14ac:dyDescent="0.3">
      <c r="A11" s="16" t="s">
        <v>7</v>
      </c>
      <c r="B11" s="17"/>
      <c r="C11" s="18"/>
      <c r="D11" s="11">
        <f>-PMT(D4,D5,D6)</f>
        <v>541288.29573273065</v>
      </c>
      <c r="E11" s="4" t="s">
        <v>15</v>
      </c>
      <c r="G11" s="4">
        <v>8</v>
      </c>
      <c r="H11" s="5">
        <f t="shared" si="6"/>
        <v>2437038.8811560688</v>
      </c>
      <c r="I11" s="5">
        <f t="shared" si="0"/>
        <v>87733.399721618465</v>
      </c>
      <c r="J11" s="5">
        <f t="shared" si="1"/>
        <v>541288.29573273065</v>
      </c>
      <c r="K11" s="5">
        <f t="shared" si="2"/>
        <v>453554.8960111122</v>
      </c>
      <c r="L11" s="6">
        <f t="shared" si="3"/>
        <v>555434.22274535894</v>
      </c>
      <c r="M11" s="7">
        <f t="shared" si="7"/>
        <v>2388225.9406103753</v>
      </c>
      <c r="N11" s="6">
        <f t="shared" si="4"/>
        <v>3120</v>
      </c>
      <c r="O11" s="6">
        <f t="shared" si="5"/>
        <v>11025.927012628294</v>
      </c>
    </row>
    <row r="12" spans="1:15" ht="16.5" thickTop="1" thickBot="1" x14ac:dyDescent="0.3">
      <c r="A12" s="16" t="s">
        <v>5</v>
      </c>
      <c r="B12" s="17"/>
      <c r="C12" s="18"/>
      <c r="D12" s="11">
        <f>D6*D9</f>
        <v>78000</v>
      </c>
      <c r="E12" s="4" t="s">
        <v>15</v>
      </c>
      <c r="G12" s="4">
        <v>9</v>
      </c>
      <c r="H12" s="5">
        <f t="shared" si="6"/>
        <v>1983483.9851449565</v>
      </c>
      <c r="I12" s="5">
        <f t="shared" si="0"/>
        <v>71405.423465218424</v>
      </c>
      <c r="J12" s="5">
        <f t="shared" si="1"/>
        <v>541288.29573273065</v>
      </c>
      <c r="K12" s="5">
        <f t="shared" si="2"/>
        <v>469882.87226751226</v>
      </c>
      <c r="L12" s="6">
        <f t="shared" si="3"/>
        <v>552657.05163163214</v>
      </c>
      <c r="M12" s="7">
        <f t="shared" si="7"/>
        <v>2376284.8109073234</v>
      </c>
      <c r="N12" s="6">
        <f t="shared" si="4"/>
        <v>3120</v>
      </c>
      <c r="O12" s="6">
        <f t="shared" si="5"/>
        <v>8248.7558989014942</v>
      </c>
    </row>
    <row r="13" spans="1:15" ht="16.5" thickTop="1" thickBot="1" x14ac:dyDescent="0.3">
      <c r="A13" s="16" t="s">
        <v>8</v>
      </c>
      <c r="B13" s="17"/>
      <c r="C13" s="18"/>
      <c r="D13" s="11">
        <f>J29+D12</f>
        <v>6573459.5487927692</v>
      </c>
      <c r="E13" s="4" t="s">
        <v>15</v>
      </c>
      <c r="G13" s="4">
        <v>10</v>
      </c>
      <c r="H13" s="5">
        <f t="shared" si="6"/>
        <v>1513601.1128774444</v>
      </c>
      <c r="I13" s="5">
        <f t="shared" si="0"/>
        <v>54489.640063587991</v>
      </c>
      <c r="J13" s="5">
        <f t="shared" si="1"/>
        <v>541288.29573273065</v>
      </c>
      <c r="K13" s="5">
        <f t="shared" si="2"/>
        <v>486798.65566914267</v>
      </c>
      <c r="L13" s="6">
        <f t="shared" si="3"/>
        <v>549893.76637347392</v>
      </c>
      <c r="M13" s="7">
        <f t="shared" si="7"/>
        <v>2364403.3868527869</v>
      </c>
      <c r="N13" s="6">
        <f t="shared" si="4"/>
        <v>3120</v>
      </c>
      <c r="O13" s="6">
        <f t="shared" si="5"/>
        <v>5485.4706407432677</v>
      </c>
    </row>
    <row r="14" spans="1:15" ht="16.5" thickTop="1" thickBot="1" x14ac:dyDescent="0.3">
      <c r="A14" s="16" t="s">
        <v>9</v>
      </c>
      <c r="B14" s="17"/>
      <c r="C14" s="18"/>
      <c r="D14" s="7">
        <f>M29</f>
        <v>58265904.928693511</v>
      </c>
      <c r="E14" s="4" t="s">
        <v>12</v>
      </c>
      <c r="G14" s="4">
        <v>11</v>
      </c>
      <c r="H14" s="5">
        <f t="shared" si="6"/>
        <v>1026802.4572083016</v>
      </c>
      <c r="I14" s="5">
        <f t="shared" si="0"/>
        <v>36964.888459498856</v>
      </c>
      <c r="J14" s="5">
        <f t="shared" si="1"/>
        <v>541288.29573273065</v>
      </c>
      <c r="K14" s="5">
        <f t="shared" si="2"/>
        <v>504323.40727323177</v>
      </c>
      <c r="L14" s="6">
        <f t="shared" si="3"/>
        <v>547144.29754160659</v>
      </c>
      <c r="M14" s="7">
        <f t="shared" si="7"/>
        <v>2352581.3699185229</v>
      </c>
      <c r="N14" s="6">
        <f t="shared" si="4"/>
        <v>3120</v>
      </c>
      <c r="O14" s="6">
        <f t="shared" si="5"/>
        <v>2736.0018088759389</v>
      </c>
    </row>
    <row r="15" spans="1:15" ht="16.5" thickTop="1" thickBot="1" x14ac:dyDescent="0.3">
      <c r="A15" s="16" t="s">
        <v>10</v>
      </c>
      <c r="B15" s="17"/>
      <c r="C15" s="18"/>
      <c r="D15" s="11">
        <f>D12/25</f>
        <v>3120</v>
      </c>
      <c r="E15" s="4" t="s">
        <v>15</v>
      </c>
      <c r="G15" s="4">
        <v>12</v>
      </c>
      <c r="H15" s="5">
        <f t="shared" si="6"/>
        <v>522479.04993506987</v>
      </c>
      <c r="I15" s="5">
        <f t="shared" si="0"/>
        <v>18809.245797662516</v>
      </c>
      <c r="J15" s="5">
        <f t="shared" si="1"/>
        <v>541288.29573273065</v>
      </c>
      <c r="K15" s="5">
        <f t="shared" si="2"/>
        <v>522479.04993506812</v>
      </c>
      <c r="L15" s="6">
        <f t="shared" si="3"/>
        <v>544408.57605389855</v>
      </c>
      <c r="M15" s="7">
        <f t="shared" si="7"/>
        <v>2340818.4630689304</v>
      </c>
      <c r="N15" s="6">
        <f t="shared" si="4"/>
        <v>3120</v>
      </c>
      <c r="O15" s="6">
        <f t="shared" si="5"/>
        <v>0.28032116789836437</v>
      </c>
    </row>
    <row r="16" spans="1:15" ht="16.5" thickTop="1" thickBot="1" x14ac:dyDescent="0.3">
      <c r="G16" s="4">
        <v>13</v>
      </c>
      <c r="H16" s="5">
        <f>H15-K15</f>
        <v>1.7462298274040222E-9</v>
      </c>
      <c r="I16" s="5">
        <f t="shared" si="0"/>
        <v>6.2864273786544791E-11</v>
      </c>
      <c r="J16" s="8">
        <v>0</v>
      </c>
      <c r="K16" s="8">
        <f>J16-I16</f>
        <v>-6.2864273786544791E-11</v>
      </c>
      <c r="L16" s="6">
        <f t="shared" si="3"/>
        <v>541686.53317362908</v>
      </c>
      <c r="M16" s="7">
        <f t="shared" si="7"/>
        <v>2329114.3707535858</v>
      </c>
      <c r="N16" s="6">
        <f t="shared" si="4"/>
        <v>3120</v>
      </c>
      <c r="O16" s="6">
        <f t="shared" si="5"/>
        <v>538566.53317362908</v>
      </c>
    </row>
    <row r="17" spans="7:15" ht="16.5" thickTop="1" thickBot="1" x14ac:dyDescent="0.3">
      <c r="G17" s="4">
        <v>14</v>
      </c>
      <c r="H17" s="5">
        <f>H16-K16</f>
        <v>1.8090941011905669E-9</v>
      </c>
      <c r="I17" s="5">
        <f t="shared" si="0"/>
        <v>6.5127387642860405E-11</v>
      </c>
      <c r="J17" s="8">
        <v>0</v>
      </c>
      <c r="K17" s="8">
        <f t="shared" si="2"/>
        <v>-6.5127387642860405E-11</v>
      </c>
      <c r="L17" s="6">
        <f t="shared" si="3"/>
        <v>538978.10050776089</v>
      </c>
      <c r="M17" s="7">
        <f t="shared" si="7"/>
        <v>2317468.7988998177</v>
      </c>
      <c r="N17" s="6">
        <f t="shared" si="4"/>
        <v>3120</v>
      </c>
      <c r="O17" s="6">
        <f t="shared" si="5"/>
        <v>535858.10050776089</v>
      </c>
    </row>
    <row r="18" spans="7:15" ht="16.5" thickTop="1" thickBot="1" x14ac:dyDescent="0.3">
      <c r="G18" s="4">
        <v>15</v>
      </c>
      <c r="H18" s="5">
        <f t="shared" ref="H18:H28" si="8">H17-K17</f>
        <v>1.8742214888334272E-9</v>
      </c>
      <c r="I18" s="5">
        <f t="shared" si="0"/>
        <v>6.747197359800337E-11</v>
      </c>
      <c r="J18" s="8">
        <v>0</v>
      </c>
      <c r="K18" s="8">
        <f t="shared" si="2"/>
        <v>-6.747197359800337E-11</v>
      </c>
      <c r="L18" s="6">
        <f t="shared" si="3"/>
        <v>536283.21000522212</v>
      </c>
      <c r="M18" s="7">
        <f t="shared" si="7"/>
        <v>2305881.4549053186</v>
      </c>
      <c r="N18" s="6">
        <f t="shared" si="4"/>
        <v>3120</v>
      </c>
      <c r="O18" s="6">
        <f t="shared" si="5"/>
        <v>533163.21000522212</v>
      </c>
    </row>
    <row r="19" spans="7:15" ht="16.5" thickTop="1" thickBot="1" x14ac:dyDescent="0.3">
      <c r="G19" s="4">
        <v>16</v>
      </c>
      <c r="H19" s="5">
        <f t="shared" si="8"/>
        <v>1.9416934624314307E-9</v>
      </c>
      <c r="I19" s="5">
        <f t="shared" si="0"/>
        <v>6.9900964647531498E-11</v>
      </c>
      <c r="J19" s="8">
        <v>0</v>
      </c>
      <c r="K19" s="8">
        <f t="shared" si="2"/>
        <v>-6.9900964647531498E-11</v>
      </c>
      <c r="L19" s="6">
        <f t="shared" si="3"/>
        <v>533601.79395519604</v>
      </c>
      <c r="M19" s="7">
        <f t="shared" si="7"/>
        <v>2294352.047630792</v>
      </c>
      <c r="N19" s="6">
        <f t="shared" si="4"/>
        <v>3120</v>
      </c>
      <c r="O19" s="6">
        <f t="shared" si="5"/>
        <v>530481.79395519604</v>
      </c>
    </row>
    <row r="20" spans="7:15" ht="16.5" thickTop="1" thickBot="1" x14ac:dyDescent="0.3">
      <c r="G20" s="4">
        <v>17</v>
      </c>
      <c r="H20" s="5">
        <f t="shared" si="8"/>
        <v>2.011594427078962E-9</v>
      </c>
      <c r="I20" s="5">
        <f t="shared" si="0"/>
        <v>7.2417399374842631E-11</v>
      </c>
      <c r="J20" s="8">
        <v>0</v>
      </c>
      <c r="K20" s="8">
        <f t="shared" si="2"/>
        <v>-7.2417399374842631E-11</v>
      </c>
      <c r="L20" s="6">
        <f t="shared" si="3"/>
        <v>530933.78498542006</v>
      </c>
      <c r="M20" s="7">
        <f t="shared" si="7"/>
        <v>2282880.2873926382</v>
      </c>
      <c r="N20" s="6">
        <f t="shared" si="4"/>
        <v>3120</v>
      </c>
      <c r="O20" s="6">
        <f t="shared" si="5"/>
        <v>527813.78498542006</v>
      </c>
    </row>
    <row r="21" spans="7:15" ht="16.5" thickTop="1" thickBot="1" x14ac:dyDescent="0.3">
      <c r="G21" s="4">
        <v>18</v>
      </c>
      <c r="H21" s="5">
        <f t="shared" si="8"/>
        <v>2.0840118264538045E-9</v>
      </c>
      <c r="I21" s="5">
        <f t="shared" si="0"/>
        <v>7.5024425752336954E-11</v>
      </c>
      <c r="J21" s="8">
        <v>0</v>
      </c>
      <c r="K21" s="8">
        <f t="shared" si="2"/>
        <v>-7.5024425752336954E-11</v>
      </c>
      <c r="L21" s="6">
        <f t="shared" si="3"/>
        <v>528279.11606049293</v>
      </c>
      <c r="M21" s="7">
        <f t="shared" si="7"/>
        <v>2271465.885955675</v>
      </c>
      <c r="N21" s="6">
        <f t="shared" si="4"/>
        <v>3120</v>
      </c>
      <c r="O21" s="6">
        <f t="shared" si="5"/>
        <v>525159.11606049293</v>
      </c>
    </row>
    <row r="22" spans="7:15" ht="16.5" thickTop="1" thickBot="1" x14ac:dyDescent="0.3">
      <c r="G22" s="4">
        <v>19</v>
      </c>
      <c r="H22" s="5">
        <f t="shared" si="8"/>
        <v>2.1590362522061416E-9</v>
      </c>
      <c r="I22" s="5">
        <f t="shared" si="0"/>
        <v>7.7725305079421097E-11</v>
      </c>
      <c r="J22" s="8">
        <v>0</v>
      </c>
      <c r="K22" s="8">
        <f t="shared" si="2"/>
        <v>-7.7725305079421097E-11</v>
      </c>
      <c r="L22" s="6">
        <f t="shared" si="3"/>
        <v>525637.72048019047</v>
      </c>
      <c r="M22" s="7">
        <f t="shared" si="7"/>
        <v>2260108.5565258968</v>
      </c>
      <c r="N22" s="6">
        <f t="shared" si="4"/>
        <v>3120</v>
      </c>
      <c r="O22" s="6">
        <f t="shared" si="5"/>
        <v>522517.72048019047</v>
      </c>
    </row>
    <row r="23" spans="7:15" ht="16.5" thickTop="1" thickBot="1" x14ac:dyDescent="0.3">
      <c r="G23" s="4">
        <v>20</v>
      </c>
      <c r="H23" s="5">
        <f t="shared" si="8"/>
        <v>2.2367615572855625E-9</v>
      </c>
      <c r="I23" s="5">
        <f t="shared" si="0"/>
        <v>8.0523416062280242E-11</v>
      </c>
      <c r="J23" s="8">
        <v>0</v>
      </c>
      <c r="K23" s="8">
        <f t="shared" si="2"/>
        <v>-8.0523416062280242E-11</v>
      </c>
      <c r="L23" s="6">
        <f t="shared" si="3"/>
        <v>523009.53187778959</v>
      </c>
      <c r="M23" s="7">
        <f t="shared" si="7"/>
        <v>2248808.0137432674</v>
      </c>
      <c r="N23" s="6">
        <f t="shared" si="4"/>
        <v>3120</v>
      </c>
      <c r="O23" s="6">
        <f t="shared" si="5"/>
        <v>519889.53187778959</v>
      </c>
    </row>
    <row r="24" spans="7:15" ht="16.5" thickTop="1" thickBot="1" x14ac:dyDescent="0.3">
      <c r="G24" s="4">
        <v>21</v>
      </c>
      <c r="H24" s="5">
        <f t="shared" si="8"/>
        <v>2.3172849733478428E-9</v>
      </c>
      <c r="I24" s="5">
        <f t="shared" si="0"/>
        <v>8.3422259040522337E-11</v>
      </c>
      <c r="J24" s="8">
        <v>0</v>
      </c>
      <c r="K24" s="8">
        <f t="shared" si="2"/>
        <v>-8.3422259040522337E-11</v>
      </c>
      <c r="L24" s="6">
        <f t="shared" si="3"/>
        <v>520394.48421840067</v>
      </c>
      <c r="M24" s="7">
        <f t="shared" si="7"/>
        <v>2237563.9736745511</v>
      </c>
      <c r="N24" s="6">
        <f t="shared" si="4"/>
        <v>3120</v>
      </c>
      <c r="O24" s="6">
        <f t="shared" si="5"/>
        <v>517274.48421840067</v>
      </c>
    </row>
    <row r="25" spans="7:15" ht="16.5" thickTop="1" thickBot="1" x14ac:dyDescent="0.3">
      <c r="G25" s="4">
        <v>22</v>
      </c>
      <c r="H25" s="5">
        <f t="shared" si="8"/>
        <v>2.4007072323883653E-9</v>
      </c>
      <c r="I25" s="5">
        <f t="shared" si="0"/>
        <v>8.6425460365981146E-11</v>
      </c>
      <c r="J25" s="8">
        <v>0</v>
      </c>
      <c r="K25" s="8">
        <f t="shared" si="2"/>
        <v>-8.6425460365981146E-11</v>
      </c>
      <c r="L25" s="6">
        <f t="shared" si="3"/>
        <v>517792.51179730863</v>
      </c>
      <c r="M25" s="7">
        <f t="shared" si="7"/>
        <v>2226376.1538061784</v>
      </c>
      <c r="N25" s="6">
        <f t="shared" si="4"/>
        <v>3120</v>
      </c>
      <c r="O25" s="6">
        <f t="shared" si="5"/>
        <v>514672.51179730863</v>
      </c>
    </row>
    <row r="26" spans="7:15" ht="16.5" thickTop="1" thickBot="1" x14ac:dyDescent="0.3">
      <c r="G26" s="4">
        <v>23</v>
      </c>
      <c r="H26" s="5">
        <f t="shared" si="8"/>
        <v>2.4871326927543465E-9</v>
      </c>
      <c r="I26" s="5">
        <f t="shared" si="0"/>
        <v>8.9536776939156461E-11</v>
      </c>
      <c r="J26" s="8">
        <v>0</v>
      </c>
      <c r="K26" s="8">
        <f t="shared" si="2"/>
        <v>-8.9536776939156461E-11</v>
      </c>
      <c r="L26" s="6">
        <f t="shared" si="3"/>
        <v>515203.54923832207</v>
      </c>
      <c r="M26" s="7">
        <f t="shared" si="7"/>
        <v>2215244.2730371472</v>
      </c>
      <c r="N26" s="6">
        <f t="shared" si="4"/>
        <v>3120</v>
      </c>
      <c r="O26" s="6">
        <f t="shared" si="5"/>
        <v>512083.54923832207</v>
      </c>
    </row>
    <row r="27" spans="7:15" ht="16.5" thickTop="1" thickBot="1" x14ac:dyDescent="0.3">
      <c r="G27" s="4">
        <v>24</v>
      </c>
      <c r="H27" s="5">
        <f t="shared" si="8"/>
        <v>2.576669469693503E-9</v>
      </c>
      <c r="I27" s="5">
        <f t="shared" si="0"/>
        <v>9.2760100908966096E-11</v>
      </c>
      <c r="J27" s="8">
        <v>0</v>
      </c>
      <c r="K27" s="8">
        <f t="shared" si="2"/>
        <v>-9.2760100908966096E-11</v>
      </c>
      <c r="L27" s="6">
        <f t="shared" si="3"/>
        <v>512627.53149213042</v>
      </c>
      <c r="M27" s="7">
        <f t="shared" si="7"/>
        <v>2204168.0516719613</v>
      </c>
      <c r="N27" s="6">
        <f t="shared" si="4"/>
        <v>3120</v>
      </c>
      <c r="O27" s="6">
        <f t="shared" si="5"/>
        <v>509507.53149213042</v>
      </c>
    </row>
    <row r="28" spans="7:15" ht="16.5" thickTop="1" thickBot="1" x14ac:dyDescent="0.3">
      <c r="G28" s="4">
        <v>25</v>
      </c>
      <c r="H28" s="5">
        <f t="shared" si="8"/>
        <v>2.669429570602469E-9</v>
      </c>
      <c r="I28" s="5">
        <f t="shared" si="0"/>
        <v>9.6099464541688876E-11</v>
      </c>
      <c r="J28" s="8">
        <v>0</v>
      </c>
      <c r="K28" s="8">
        <f t="shared" si="2"/>
        <v>-9.6099464541688876E-11</v>
      </c>
      <c r="L28" s="6">
        <f t="shared" si="3"/>
        <v>510064.39383466973</v>
      </c>
      <c r="M28" s="7">
        <f t="shared" si="7"/>
        <v>2193147.2114136014</v>
      </c>
      <c r="N28" s="6">
        <f t="shared" si="4"/>
        <v>3120</v>
      </c>
      <c r="O28" s="6">
        <f t="shared" si="5"/>
        <v>506944.39383466973</v>
      </c>
    </row>
    <row r="29" spans="7:15" ht="16.5" thickTop="1" thickBot="1" x14ac:dyDescent="0.3">
      <c r="G29" s="4" t="s">
        <v>16</v>
      </c>
      <c r="H29" s="5"/>
      <c r="I29" s="5"/>
      <c r="J29" s="5">
        <f>SUM(J4:J28)</f>
        <v>6495459.5487927692</v>
      </c>
      <c r="K29" s="5"/>
      <c r="L29" s="6">
        <f>SUM(L4:L28)</f>
        <v>13551011.680390948</v>
      </c>
      <c r="M29" s="7">
        <f>SUM(M4:M28)</f>
        <v>58265904.928693511</v>
      </c>
      <c r="N29" s="6"/>
      <c r="O29" s="6">
        <f>SUM(O4:O28)</f>
        <v>6977552.131598182</v>
      </c>
    </row>
    <row r="30" spans="7:15" ht="15.75" thickTop="1" x14ac:dyDescent="0.25"/>
  </sheetData>
  <mergeCells count="14">
    <mergeCell ref="A7:C7"/>
    <mergeCell ref="G1:O2"/>
    <mergeCell ref="A2:E3"/>
    <mergeCell ref="A4:C4"/>
    <mergeCell ref="A5:C5"/>
    <mergeCell ref="A6:C6"/>
    <mergeCell ref="A14:C14"/>
    <mergeCell ref="A15:C15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Windows User</cp:lastModifiedBy>
  <dcterms:created xsi:type="dcterms:W3CDTF">2021-05-25T13:36:11Z</dcterms:created>
  <dcterms:modified xsi:type="dcterms:W3CDTF">2021-05-28T17:12:15Z</dcterms:modified>
</cp:coreProperties>
</file>