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9555" windowHeight="72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Q19" i="1"/>
  <c r="Q20"/>
  <c r="Q21"/>
  <c r="Q22"/>
  <c r="Q23"/>
  <c r="Q24"/>
  <c r="Q25"/>
  <c r="Q26"/>
  <c r="Q27"/>
  <c r="Q18"/>
  <c r="Q4"/>
  <c r="Q5"/>
  <c r="Q6"/>
  <c r="Q7"/>
  <c r="Q8"/>
  <c r="Q9"/>
  <c r="Q10"/>
  <c r="Q11"/>
  <c r="Q12"/>
  <c r="Q13"/>
  <c r="Q14"/>
  <c r="Q15"/>
  <c r="Q16"/>
  <c r="Q17"/>
  <c r="Q3"/>
  <c r="O23"/>
  <c r="M3"/>
  <c r="P4"/>
  <c r="P5" s="1"/>
  <c r="G5"/>
  <c r="G9" s="1"/>
  <c r="P6" l="1"/>
  <c r="R24"/>
  <c r="R23"/>
  <c r="R27"/>
  <c r="R26"/>
  <c r="R25"/>
  <c r="G12"/>
  <c r="G13" s="1"/>
  <c r="O24"/>
  <c r="P7" l="1"/>
  <c r="N18"/>
  <c r="N5"/>
  <c r="N9"/>
  <c r="N13"/>
  <c r="N17"/>
  <c r="N21"/>
  <c r="N4"/>
  <c r="N8"/>
  <c r="N12"/>
  <c r="N16"/>
  <c r="N20"/>
  <c r="N7"/>
  <c r="N11"/>
  <c r="N15"/>
  <c r="N19"/>
  <c r="N3"/>
  <c r="N6"/>
  <c r="N10"/>
  <c r="N14"/>
  <c r="N22"/>
  <c r="O25"/>
  <c r="P8" l="1"/>
  <c r="R18"/>
  <c r="R5"/>
  <c r="S5" s="1"/>
  <c r="R11"/>
  <c r="R15"/>
  <c r="R16"/>
  <c r="R14"/>
  <c r="R19"/>
  <c r="R20"/>
  <c r="R4"/>
  <c r="S4" s="1"/>
  <c r="R9"/>
  <c r="R6"/>
  <c r="S6" s="1"/>
  <c r="R12"/>
  <c r="R17"/>
  <c r="R10"/>
  <c r="R21"/>
  <c r="R22"/>
  <c r="R3"/>
  <c r="S3" s="1"/>
  <c r="O3"/>
  <c r="L4" s="1"/>
  <c r="R7"/>
  <c r="S7" s="1"/>
  <c r="R8"/>
  <c r="R13"/>
  <c r="O26"/>
  <c r="S8" l="1"/>
  <c r="P9"/>
  <c r="M4"/>
  <c r="O4" s="1"/>
  <c r="L5" s="1"/>
  <c r="P10" l="1"/>
  <c r="S9"/>
  <c r="M5"/>
  <c r="O5" s="1"/>
  <c r="L6" s="1"/>
  <c r="P11" l="1"/>
  <c r="S10"/>
  <c r="L7"/>
  <c r="M6"/>
  <c r="O6" s="1"/>
  <c r="P12" l="1"/>
  <c r="S11"/>
  <c r="M7"/>
  <c r="O7" s="1"/>
  <c r="L8" s="1"/>
  <c r="P13" l="1"/>
  <c r="S12"/>
  <c r="M8"/>
  <c r="O8" s="1"/>
  <c r="L9" s="1"/>
  <c r="P14" l="1"/>
  <c r="S13"/>
  <c r="M9"/>
  <c r="O9" s="1"/>
  <c r="L10" s="1"/>
  <c r="P15" l="1"/>
  <c r="S14"/>
  <c r="L11"/>
  <c r="M10"/>
  <c r="O10" s="1"/>
  <c r="P16" l="1"/>
  <c r="S15"/>
  <c r="L12"/>
  <c r="M11"/>
  <c r="O11" s="1"/>
  <c r="P17" l="1"/>
  <c r="S16"/>
  <c r="M12"/>
  <c r="O12" s="1"/>
  <c r="L13" s="1"/>
  <c r="P18" l="1"/>
  <c r="S17"/>
  <c r="M13"/>
  <c r="O13" s="1"/>
  <c r="L14" s="1"/>
  <c r="P19" l="1"/>
  <c r="S18"/>
  <c r="L15"/>
  <c r="M14"/>
  <c r="O14" s="1"/>
  <c r="P20" l="1"/>
  <c r="S19"/>
  <c r="L16"/>
  <c r="M15"/>
  <c r="O15" s="1"/>
  <c r="P21" l="1"/>
  <c r="S20"/>
  <c r="M16"/>
  <c r="O16" s="1"/>
  <c r="L17" s="1"/>
  <c r="P22" l="1"/>
  <c r="S21"/>
  <c r="M17"/>
  <c r="O17" s="1"/>
  <c r="L18" s="1"/>
  <c r="P23" l="1"/>
  <c r="S22"/>
  <c r="L19"/>
  <c r="M18"/>
  <c r="O18" s="1"/>
  <c r="P24" l="1"/>
  <c r="S23"/>
  <c r="M19"/>
  <c r="O19" s="1"/>
  <c r="L20" s="1"/>
  <c r="P25" l="1"/>
  <c r="S24"/>
  <c r="M20"/>
  <c r="O20" s="1"/>
  <c r="L21" s="1"/>
  <c r="P26" l="1"/>
  <c r="S25"/>
  <c r="M21"/>
  <c r="O21" s="1"/>
  <c r="L22" s="1"/>
  <c r="P27" l="1"/>
  <c r="S27" s="1"/>
  <c r="S28" s="1"/>
  <c r="S26"/>
  <c r="L23"/>
  <c r="L24" s="1"/>
  <c r="L25" s="1"/>
  <c r="L26" s="1"/>
  <c r="L27" s="1"/>
  <c r="O27" s="1"/>
  <c r="M22"/>
  <c r="O22" s="1"/>
</calcChain>
</file>

<file path=xl/sharedStrings.xml><?xml version="1.0" encoding="utf-8"?>
<sst xmlns="http://schemas.openxmlformats.org/spreadsheetml/2006/main" count="65" uniqueCount="59">
  <si>
    <t>Snaga elektrane</t>
  </si>
  <si>
    <t>Broj panela</t>
  </si>
  <si>
    <t>Broj invertora</t>
  </si>
  <si>
    <t>Cijena panela</t>
  </si>
  <si>
    <t>Cijena invertora</t>
  </si>
  <si>
    <t>[kW]</t>
  </si>
  <si>
    <t>[KM]</t>
  </si>
  <si>
    <t>Ulazni podaci</t>
  </si>
  <si>
    <t>Proračun</t>
  </si>
  <si>
    <t>Kamata</t>
  </si>
  <si>
    <t>Rok otplate</t>
  </si>
  <si>
    <t>Otkupna cijena</t>
  </si>
  <si>
    <t>Održavanje</t>
  </si>
  <si>
    <t>Pad proizvodnje</t>
  </si>
  <si>
    <t xml:space="preserve">Troškovi održavanja </t>
  </si>
  <si>
    <t>Godišnja proizvodnja</t>
  </si>
  <si>
    <t>Dodatna oprema</t>
  </si>
  <si>
    <t>Cijena opreme</t>
  </si>
  <si>
    <t>Osnovna investicija</t>
  </si>
  <si>
    <t>Ukupna investicija</t>
  </si>
  <si>
    <t>Standardna cijena</t>
  </si>
  <si>
    <t xml:space="preserve"> [god]</t>
  </si>
  <si>
    <t>[KM/god]</t>
  </si>
  <si>
    <t>[kWh/god]</t>
  </si>
  <si>
    <t>Godina</t>
  </si>
  <si>
    <t>Dug</t>
  </si>
  <si>
    <t>Rata</t>
  </si>
  <si>
    <t>Otplata</t>
  </si>
  <si>
    <t>Godišnja proizvodnja [kWh/god]</t>
  </si>
  <si>
    <t>Godišnja proizvodnja [KM]</t>
  </si>
  <si>
    <t>Rashodi</t>
  </si>
  <si>
    <t>Zarada</t>
  </si>
  <si>
    <t>1.</t>
  </si>
  <si>
    <t>2.</t>
  </si>
  <si>
    <t>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</si>
  <si>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</si>
  <si>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</si>
  <si>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</si>
  <si>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</si>
  <si>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</si>
  <si>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</si>
  <si>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</si>
  <si>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</si>
  <si>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</si>
  <si>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</si>
  <si>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</si>
  <si>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</si>
  <si>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</si>
  <si>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</si>
  <si>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</si>
  <si>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</si>
  <si>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</si>
  <si>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</si>
  <si>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</si>
  <si>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</si>
  <si>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</si>
  <si>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</si>
  <si>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Ukupna zarada:</t>
  </si>
  <si>
    <t>[KM/kWh]</t>
  </si>
</sst>
</file>

<file path=xl/styles.xml><?xml version="1.0" encoding="utf-8"?>
<styleSheet xmlns="http://schemas.openxmlformats.org/spreadsheetml/2006/main">
  <numFmts count="2">
    <numFmt numFmtId="164" formatCode="#,##0.00\ [$KM-141A]"/>
    <numFmt numFmtId="165" formatCode="#,##0\ [$KM-141A]"/>
  </numFmts>
  <fonts count="3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66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5" xfId="0" applyBorder="1"/>
    <xf numFmtId="0" fontId="0" fillId="0" borderId="8" xfId="0" applyBorder="1"/>
    <xf numFmtId="0" fontId="0" fillId="3" borderId="4" xfId="0" applyFill="1" applyBorder="1"/>
    <xf numFmtId="0" fontId="0" fillId="3" borderId="7" xfId="0" applyFill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3" xfId="0" applyFill="1" applyBorder="1"/>
    <xf numFmtId="0" fontId="0" fillId="0" borderId="14" xfId="0" applyBorder="1" applyAlignment="1">
      <alignment horizontal="center" vertical="center"/>
    </xf>
    <xf numFmtId="10" fontId="0" fillId="0" borderId="5" xfId="0" applyNumberFormat="1" applyBorder="1"/>
    <xf numFmtId="0" fontId="0" fillId="3" borderId="16" xfId="0" applyFill="1" applyBorder="1"/>
    <xf numFmtId="0" fontId="0" fillId="0" borderId="17" xfId="0" applyBorder="1"/>
    <xf numFmtId="0" fontId="0" fillId="0" borderId="18" xfId="0" applyBorder="1" applyAlignment="1">
      <alignment horizontal="center" vertical="center"/>
    </xf>
    <xf numFmtId="9" fontId="0" fillId="4" borderId="15" xfId="0" applyNumberFormat="1" applyFill="1" applyBorder="1"/>
    <xf numFmtId="9" fontId="0" fillId="0" borderId="15" xfId="0" applyNumberFormat="1" applyBorder="1"/>
    <xf numFmtId="9" fontId="0" fillId="0" borderId="15" xfId="0" applyNumberFormat="1" applyBorder="1" applyAlignment="1">
      <alignment horizontal="center" vertical="center"/>
    </xf>
    <xf numFmtId="164" fontId="0" fillId="0" borderId="5" xfId="0" applyNumberFormat="1" applyBorder="1"/>
    <xf numFmtId="165" fontId="0" fillId="0" borderId="5" xfId="0" applyNumberFormat="1" applyBorder="1"/>
    <xf numFmtId="0" fontId="1" fillId="2" borderId="2" xfId="0" applyFont="1" applyFill="1" applyBorder="1" applyAlignment="1">
      <alignment horizontal="center" vertical="center" wrapText="1"/>
    </xf>
    <xf numFmtId="164" fontId="0" fillId="0" borderId="8" xfId="0" applyNumberFormat="1" applyBorder="1"/>
    <xf numFmtId="165" fontId="0" fillId="0" borderId="8" xfId="0" applyNumberFormat="1" applyBorder="1"/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/>
    <xf numFmtId="0" fontId="0" fillId="3" borderId="8" xfId="0" applyFill="1" applyBorder="1"/>
    <xf numFmtId="164" fontId="0" fillId="3" borderId="5" xfId="0" applyNumberFormat="1" applyFill="1" applyBorder="1"/>
    <xf numFmtId="164" fontId="0" fillId="3" borderId="8" xfId="0" applyNumberFormat="1" applyFill="1" applyBorder="1"/>
    <xf numFmtId="164" fontId="0" fillId="3" borderId="6" xfId="0" applyNumberFormat="1" applyFill="1" applyBorder="1"/>
    <xf numFmtId="164" fontId="2" fillId="3" borderId="6" xfId="0" applyNumberFormat="1" applyFont="1" applyFill="1" applyBorder="1"/>
    <xf numFmtId="164" fontId="0" fillId="3" borderId="20" xfId="0" applyNumberFormat="1" applyFill="1" applyBorder="1"/>
    <xf numFmtId="164" fontId="0" fillId="5" borderId="19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66"/>
      <color rgb="FF33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3746062992125985"/>
          <c:y val="9.8171478565179465E-2"/>
          <c:w val="0.70124081364829483"/>
          <c:h val="0.8272798191892683"/>
        </c:manualLayout>
      </c:layout>
      <c:scatterChart>
        <c:scatterStyle val="lineMarker"/>
        <c:ser>
          <c:idx val="0"/>
          <c:order val="0"/>
          <c:marker>
            <c:symbol val="none"/>
          </c:marker>
          <c:yVal>
            <c:numRef>
              <c:f>Sheet1!$S$3:$S$27</c:f>
              <c:numCache>
                <c:formatCode>#,##0.00\ [$KM-141A]</c:formatCode>
                <c:ptCount val="25"/>
                <c:pt idx="0">
                  <c:v>4244.4521136883632</c:v>
                </c:pt>
                <c:pt idx="1">
                  <c:v>4192.3884761883637</c:v>
                </c:pt>
                <c:pt idx="2">
                  <c:v>4140.5851568758644</c:v>
                </c:pt>
                <c:pt idx="3">
                  <c:v>4089.0408541599263</c:v>
                </c:pt>
                <c:pt idx="4">
                  <c:v>4037.7542729575689</c:v>
                </c:pt>
                <c:pt idx="5">
                  <c:v>3986.724124661223</c:v>
                </c:pt>
                <c:pt idx="6">
                  <c:v>3935.949127106358</c:v>
                </c:pt>
                <c:pt idx="7">
                  <c:v>3885.4280045392698</c:v>
                </c:pt>
                <c:pt idx="8">
                  <c:v>3835.1594875850151</c:v>
                </c:pt>
                <c:pt idx="9">
                  <c:v>3785.1423132155305</c:v>
                </c:pt>
                <c:pt idx="10">
                  <c:v>3735.3752247178945</c:v>
                </c:pt>
                <c:pt idx="11">
                  <c:v>3685.856971662748</c:v>
                </c:pt>
                <c:pt idx="12">
                  <c:v>3636.5863098728751</c:v>
                </c:pt>
                <c:pt idx="13">
                  <c:v>3587.5620013919543</c:v>
                </c:pt>
                <c:pt idx="14">
                  <c:v>3538.782814453436</c:v>
                </c:pt>
                <c:pt idx="15">
                  <c:v>-2218.4641005306789</c:v>
                </c:pt>
                <c:pt idx="16">
                  <c:v>-2238.213156959584</c:v>
                </c:pt>
                <c:pt idx="17">
                  <c:v>-2257.8634681063445</c:v>
                </c:pt>
                <c:pt idx="18">
                  <c:v>-2277.4155276973706</c:v>
                </c:pt>
                <c:pt idx="19">
                  <c:v>-2296.8698269904417</c:v>
                </c:pt>
                <c:pt idx="20">
                  <c:v>3276.1643315245883</c:v>
                </c:pt>
                <c:pt idx="21">
                  <c:v>3256.9040888669656</c:v>
                </c:pt>
                <c:pt idx="22">
                  <c:v>3237.7401474226308</c:v>
                </c:pt>
                <c:pt idx="23">
                  <c:v>3218.6720256855178</c:v>
                </c:pt>
                <c:pt idx="24">
                  <c:v>3199.6992445570904</c:v>
                </c:pt>
              </c:numCache>
            </c:numRef>
          </c:yVal>
        </c:ser>
        <c:axId val="172269952"/>
        <c:axId val="172272256"/>
      </c:scatterChart>
      <c:valAx>
        <c:axId val="172269952"/>
        <c:scaling>
          <c:orientation val="minMax"/>
        </c:scaling>
        <c:axPos val="b"/>
        <c:minorGridlines/>
        <c:title>
          <c:tx>
            <c:rich>
              <a:bodyPr/>
              <a:lstStyle/>
              <a:p>
                <a:pPr>
                  <a:defRPr b="1"/>
                </a:pPr>
                <a:r>
                  <a:rPr lang="sr-Latn-RS" b="1"/>
                  <a:t>Godine</a:t>
                </a:r>
                <a:endParaRPr lang="en-US" b="1"/>
              </a:p>
            </c:rich>
          </c:tx>
          <c:layout/>
        </c:title>
        <c:tickLblPos val="nextTo"/>
        <c:crossAx val="172272256"/>
        <c:crosses val="autoZero"/>
        <c:crossBetween val="midCat"/>
      </c:valAx>
      <c:valAx>
        <c:axId val="17227225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b="1"/>
                </a:pPr>
                <a:r>
                  <a:rPr lang="sr-Latn-RS" b="1"/>
                  <a:t>Zarada [KM]</a:t>
                </a:r>
                <a:endParaRPr lang="en-US" b="1"/>
              </a:p>
            </c:rich>
          </c:tx>
          <c:layout/>
        </c:title>
        <c:numFmt formatCode="#,##0.00\ [$KM-141A]" sourceLinked="1"/>
        <c:tickLblPos val="nextTo"/>
        <c:crossAx val="172269952"/>
        <c:crosses val="autoZero"/>
        <c:crossBetween val="midCat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15</xdr:row>
      <xdr:rowOff>57150</xdr:rowOff>
    </xdr:from>
    <xdr:to>
      <xdr:col>5</xdr:col>
      <xdr:colOff>933450</xdr:colOff>
      <xdr:row>29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29"/>
  <sheetViews>
    <sheetView tabSelected="1" zoomScaleNormal="100" workbookViewId="0">
      <selection activeCell="H21" sqref="H21"/>
    </sheetView>
  </sheetViews>
  <sheetFormatPr defaultRowHeight="15"/>
  <cols>
    <col min="1" max="1" width="9.140625" customWidth="1"/>
    <col min="2" max="2" width="21.85546875" customWidth="1"/>
    <col min="3" max="4" width="10.42578125" customWidth="1"/>
    <col min="6" max="6" width="23.28515625" customWidth="1"/>
    <col min="7" max="7" width="16.5703125" customWidth="1"/>
    <col min="8" max="8" width="12.42578125" customWidth="1"/>
    <col min="12" max="19" width="14.42578125" customWidth="1"/>
  </cols>
  <sheetData>
    <row r="1" spans="2:19" ht="15.75" thickBot="1"/>
    <row r="2" spans="2:19" ht="46.5" customHeight="1" thickTop="1">
      <c r="B2" s="34" t="s">
        <v>7</v>
      </c>
      <c r="C2" s="35"/>
      <c r="D2" s="36"/>
      <c r="F2" s="37" t="s">
        <v>8</v>
      </c>
      <c r="G2" s="38"/>
      <c r="H2" s="39"/>
      <c r="K2" s="31" t="s">
        <v>24</v>
      </c>
      <c r="L2" s="18" t="s">
        <v>25</v>
      </c>
      <c r="M2" s="18" t="s">
        <v>9</v>
      </c>
      <c r="N2" s="18" t="s">
        <v>26</v>
      </c>
      <c r="O2" s="32" t="s">
        <v>27</v>
      </c>
      <c r="P2" s="18" t="s">
        <v>28</v>
      </c>
      <c r="Q2" s="18" t="s">
        <v>29</v>
      </c>
      <c r="R2" s="18" t="s">
        <v>30</v>
      </c>
      <c r="S2" s="33" t="s">
        <v>31</v>
      </c>
    </row>
    <row r="3" spans="2:19">
      <c r="B3" s="3" t="s">
        <v>0</v>
      </c>
      <c r="C3" s="1">
        <v>44.55</v>
      </c>
      <c r="D3" s="5" t="s">
        <v>5</v>
      </c>
      <c r="F3" s="7" t="s">
        <v>9</v>
      </c>
      <c r="G3" s="9">
        <v>5.2999999999999999E-2</v>
      </c>
      <c r="H3" s="8"/>
      <c r="K3" s="21" t="s">
        <v>32</v>
      </c>
      <c r="L3" s="1">
        <v>67954.335600000006</v>
      </c>
      <c r="M3" s="23">
        <f t="shared" ref="M3:M22" si="0">L3*$G$3</f>
        <v>3601.5797868000004</v>
      </c>
      <c r="N3" s="16">
        <f>-PMT($G$3,$G$4,$G$13)</f>
        <v>5592.3911863116355</v>
      </c>
      <c r="O3" s="25">
        <f t="shared" ref="O3:O27" si="1">N3-M3</f>
        <v>1990.811399511635</v>
      </c>
      <c r="P3" s="1">
        <v>47525</v>
      </c>
      <c r="Q3" s="23">
        <f>P3*$G$6</f>
        <v>10412.727499999999</v>
      </c>
      <c r="R3" s="16">
        <f>N3+$G$9</f>
        <v>6168.2753863116359</v>
      </c>
      <c r="S3" s="27">
        <f>Q3-R3</f>
        <v>4244.4521136883632</v>
      </c>
    </row>
    <row r="4" spans="2:19">
      <c r="B4" s="3" t="s">
        <v>1</v>
      </c>
      <c r="C4" s="1">
        <v>135</v>
      </c>
      <c r="D4" s="5"/>
      <c r="F4" s="7" t="s">
        <v>10</v>
      </c>
      <c r="G4" s="1">
        <v>20</v>
      </c>
      <c r="H4" s="8" t="s">
        <v>21</v>
      </c>
      <c r="K4" s="21" t="s">
        <v>33</v>
      </c>
      <c r="L4" s="16">
        <f t="shared" ref="L4:L27" si="2">L3-O3</f>
        <v>65963.524200488377</v>
      </c>
      <c r="M4" s="23">
        <f t="shared" si="0"/>
        <v>3496.0667826258837</v>
      </c>
      <c r="N4" s="16">
        <f t="shared" ref="N4:N22" si="3">-PMT($G$3,$G$4,$G$13)</f>
        <v>5592.3911863116355</v>
      </c>
      <c r="O4" s="25">
        <f t="shared" si="1"/>
        <v>2096.3244036857518</v>
      </c>
      <c r="P4" s="1">
        <f>P3-P3*$G$8</f>
        <v>47287.375</v>
      </c>
      <c r="Q4" s="23">
        <f t="shared" ref="Q4:Q17" si="4">P4*$G$6</f>
        <v>10360.6638625</v>
      </c>
      <c r="R4" s="16">
        <f t="shared" ref="R4:R27" si="5">N4+$G$9</f>
        <v>6168.2753863116359</v>
      </c>
      <c r="S4" s="27">
        <f t="shared" ref="S4:S27" si="6">Q4-R4</f>
        <v>4192.3884761883637</v>
      </c>
    </row>
    <row r="5" spans="2:19">
      <c r="B5" s="3" t="s">
        <v>2</v>
      </c>
      <c r="C5" s="1">
        <v>2</v>
      </c>
      <c r="D5" s="5"/>
      <c r="F5" s="7" t="s">
        <v>18</v>
      </c>
      <c r="G5" s="1">
        <f>C4*C6+C5*C7</f>
        <v>57588.42</v>
      </c>
      <c r="H5" s="8" t="s">
        <v>6</v>
      </c>
      <c r="K5" s="21" t="s">
        <v>34</v>
      </c>
      <c r="L5" s="16">
        <f t="shared" si="2"/>
        <v>63867.199796802626</v>
      </c>
      <c r="M5" s="23">
        <f t="shared" si="0"/>
        <v>3384.9615892305392</v>
      </c>
      <c r="N5" s="16">
        <f t="shared" si="3"/>
        <v>5592.3911863116355</v>
      </c>
      <c r="O5" s="25">
        <f t="shared" si="1"/>
        <v>2207.4295970810963</v>
      </c>
      <c r="P5" s="1">
        <f t="shared" ref="P5:P27" si="7">P4-P4*$G$8</f>
        <v>47050.938125000001</v>
      </c>
      <c r="Q5" s="23">
        <f t="shared" si="4"/>
        <v>10308.8605431875</v>
      </c>
      <c r="R5" s="16">
        <f t="shared" si="5"/>
        <v>6168.2753863116359</v>
      </c>
      <c r="S5" s="27">
        <f t="shared" si="6"/>
        <v>4140.5851568758644</v>
      </c>
    </row>
    <row r="6" spans="2:19">
      <c r="B6" s="3" t="s">
        <v>3</v>
      </c>
      <c r="C6" s="1">
        <v>355.78</v>
      </c>
      <c r="D6" s="5" t="s">
        <v>6</v>
      </c>
      <c r="F6" s="7" t="s">
        <v>11</v>
      </c>
      <c r="G6" s="1">
        <v>0.21909999999999999</v>
      </c>
      <c r="H6" s="8" t="s">
        <v>58</v>
      </c>
      <c r="K6" s="21" t="s">
        <v>47</v>
      </c>
      <c r="L6" s="16">
        <f t="shared" si="2"/>
        <v>61659.770199721534</v>
      </c>
      <c r="M6" s="23">
        <f t="shared" si="0"/>
        <v>3267.967820585241</v>
      </c>
      <c r="N6" s="16">
        <f t="shared" si="3"/>
        <v>5592.3911863116355</v>
      </c>
      <c r="O6" s="25">
        <f t="shared" si="1"/>
        <v>2324.4233657263944</v>
      </c>
      <c r="P6" s="1">
        <f t="shared" si="7"/>
        <v>46815.683434375002</v>
      </c>
      <c r="Q6" s="23">
        <f t="shared" si="4"/>
        <v>10257.316240471562</v>
      </c>
      <c r="R6" s="16">
        <f t="shared" si="5"/>
        <v>6168.2753863116359</v>
      </c>
      <c r="S6" s="27">
        <f t="shared" si="6"/>
        <v>4089.0408541599263</v>
      </c>
    </row>
    <row r="7" spans="2:19" ht="15.75" thickBot="1">
      <c r="B7" s="4" t="s">
        <v>4</v>
      </c>
      <c r="C7" s="2">
        <v>4779.0600000000004</v>
      </c>
      <c r="D7" s="6" t="s">
        <v>6</v>
      </c>
      <c r="F7" s="7" t="s">
        <v>12</v>
      </c>
      <c r="G7" s="9">
        <v>0.01</v>
      </c>
      <c r="H7" s="8"/>
      <c r="K7" s="21" t="s">
        <v>48</v>
      </c>
      <c r="L7" s="16">
        <f t="shared" si="2"/>
        <v>59335.346833995136</v>
      </c>
      <c r="M7" s="23">
        <f t="shared" si="0"/>
        <v>3144.7733822017422</v>
      </c>
      <c r="N7" s="16">
        <f t="shared" si="3"/>
        <v>5592.3911863116355</v>
      </c>
      <c r="O7" s="25">
        <f t="shared" si="1"/>
        <v>2447.6178041098933</v>
      </c>
      <c r="P7" s="1">
        <f t="shared" si="7"/>
        <v>46581.605017203125</v>
      </c>
      <c r="Q7" s="23">
        <f t="shared" si="4"/>
        <v>10206.029659269205</v>
      </c>
      <c r="R7" s="16">
        <f t="shared" si="5"/>
        <v>6168.2753863116359</v>
      </c>
      <c r="S7" s="27">
        <f t="shared" si="6"/>
        <v>4037.7542729575689</v>
      </c>
    </row>
    <row r="8" spans="2:19" ht="15.75" thickTop="1">
      <c r="F8" s="7" t="s">
        <v>13</v>
      </c>
      <c r="G8" s="9">
        <v>5.0000000000000001E-3</v>
      </c>
      <c r="H8" s="8"/>
      <c r="K8" s="21" t="s">
        <v>49</v>
      </c>
      <c r="L8" s="16">
        <f t="shared" si="2"/>
        <v>56887.729029885246</v>
      </c>
      <c r="M8" s="23">
        <f t="shared" si="0"/>
        <v>3015.0496385839178</v>
      </c>
      <c r="N8" s="16">
        <f t="shared" si="3"/>
        <v>5592.3911863116355</v>
      </c>
      <c r="O8" s="25">
        <f t="shared" si="1"/>
        <v>2577.3415477277176</v>
      </c>
      <c r="P8" s="1">
        <f t="shared" si="7"/>
        <v>46348.696992117111</v>
      </c>
      <c r="Q8" s="23">
        <f t="shared" si="4"/>
        <v>10154.999510972859</v>
      </c>
      <c r="R8" s="16">
        <f t="shared" si="5"/>
        <v>6168.2753863116359</v>
      </c>
      <c r="S8" s="27">
        <f t="shared" si="6"/>
        <v>3986.724124661223</v>
      </c>
    </row>
    <row r="9" spans="2:19">
      <c r="F9" s="7" t="s">
        <v>14</v>
      </c>
      <c r="G9" s="1">
        <f>G7*G5</f>
        <v>575.88419999999996</v>
      </c>
      <c r="H9" s="8" t="s">
        <v>22</v>
      </c>
      <c r="K9" s="21" t="s">
        <v>50</v>
      </c>
      <c r="L9" s="16">
        <f t="shared" si="2"/>
        <v>54310.38748215753</v>
      </c>
      <c r="M9" s="23">
        <f t="shared" si="0"/>
        <v>2878.4505365543491</v>
      </c>
      <c r="N9" s="16">
        <f t="shared" si="3"/>
        <v>5592.3911863116355</v>
      </c>
      <c r="O9" s="25">
        <f t="shared" si="1"/>
        <v>2713.9406497572863</v>
      </c>
      <c r="P9" s="1">
        <f t="shared" si="7"/>
        <v>46116.953507156526</v>
      </c>
      <c r="Q9" s="23">
        <f t="shared" si="4"/>
        <v>10104.224513417994</v>
      </c>
      <c r="R9" s="16">
        <f t="shared" si="5"/>
        <v>6168.2753863116359</v>
      </c>
      <c r="S9" s="27">
        <f t="shared" si="6"/>
        <v>3935.949127106358</v>
      </c>
    </row>
    <row r="10" spans="2:19">
      <c r="F10" s="7" t="s">
        <v>15</v>
      </c>
      <c r="G10" s="1">
        <v>47525</v>
      </c>
      <c r="H10" s="8" t="s">
        <v>23</v>
      </c>
      <c r="K10" s="21" t="s">
        <v>51</v>
      </c>
      <c r="L10" s="16">
        <f t="shared" si="2"/>
        <v>51596.446832400245</v>
      </c>
      <c r="M10" s="23">
        <f t="shared" si="0"/>
        <v>2734.6116821172127</v>
      </c>
      <c r="N10" s="16">
        <f t="shared" si="3"/>
        <v>5592.3911863116355</v>
      </c>
      <c r="O10" s="25">
        <f t="shared" si="1"/>
        <v>2857.7795041944228</v>
      </c>
      <c r="P10" s="1">
        <f t="shared" si="7"/>
        <v>45886.368739620746</v>
      </c>
      <c r="Q10" s="23">
        <f t="shared" si="4"/>
        <v>10053.703390850906</v>
      </c>
      <c r="R10" s="16">
        <f t="shared" si="5"/>
        <v>6168.2753863116359</v>
      </c>
      <c r="S10" s="27">
        <f t="shared" si="6"/>
        <v>3885.4280045392698</v>
      </c>
    </row>
    <row r="11" spans="2:19">
      <c r="F11" s="7" t="s">
        <v>16</v>
      </c>
      <c r="G11" s="9">
        <v>0.18</v>
      </c>
      <c r="H11" s="8"/>
      <c r="K11" s="21" t="s">
        <v>52</v>
      </c>
      <c r="L11" s="16">
        <f t="shared" si="2"/>
        <v>48738.667328205818</v>
      </c>
      <c r="M11" s="23">
        <f t="shared" si="0"/>
        <v>2583.1493683949084</v>
      </c>
      <c r="N11" s="16">
        <f t="shared" si="3"/>
        <v>5592.3911863116355</v>
      </c>
      <c r="O11" s="25">
        <f t="shared" si="1"/>
        <v>3009.2418179167271</v>
      </c>
      <c r="P11" s="1">
        <f t="shared" si="7"/>
        <v>45656.936895922641</v>
      </c>
      <c r="Q11" s="23">
        <f t="shared" si="4"/>
        <v>10003.434873896651</v>
      </c>
      <c r="R11" s="16">
        <f t="shared" si="5"/>
        <v>6168.2753863116359</v>
      </c>
      <c r="S11" s="27">
        <f t="shared" si="6"/>
        <v>3835.1594875850151</v>
      </c>
    </row>
    <row r="12" spans="2:19">
      <c r="F12" s="7" t="s">
        <v>17</v>
      </c>
      <c r="G12" s="1">
        <f>G11*G5</f>
        <v>10365.915599999998</v>
      </c>
      <c r="H12" s="8" t="s">
        <v>6</v>
      </c>
      <c r="K12" s="21" t="s">
        <v>53</v>
      </c>
      <c r="L12" s="16">
        <f t="shared" si="2"/>
        <v>45729.425510289089</v>
      </c>
      <c r="M12" s="23">
        <f t="shared" si="0"/>
        <v>2423.6595520453216</v>
      </c>
      <c r="N12" s="16">
        <f t="shared" si="3"/>
        <v>5592.3911863116355</v>
      </c>
      <c r="O12" s="25">
        <f t="shared" si="1"/>
        <v>3168.7316342663139</v>
      </c>
      <c r="P12" s="1">
        <f t="shared" si="7"/>
        <v>45428.652211443026</v>
      </c>
      <c r="Q12" s="23">
        <f t="shared" si="4"/>
        <v>9953.4176995271664</v>
      </c>
      <c r="R12" s="16">
        <f t="shared" si="5"/>
        <v>6168.2753863116359</v>
      </c>
      <c r="S12" s="27">
        <f t="shared" si="6"/>
        <v>3785.1423132155305</v>
      </c>
    </row>
    <row r="13" spans="2:19">
      <c r="F13" s="7" t="s">
        <v>19</v>
      </c>
      <c r="G13" s="1">
        <f>G5+G12</f>
        <v>67954.335599999991</v>
      </c>
      <c r="H13" s="8" t="s">
        <v>6</v>
      </c>
      <c r="K13" s="21" t="s">
        <v>54</v>
      </c>
      <c r="L13" s="16">
        <f t="shared" si="2"/>
        <v>42560.693876022779</v>
      </c>
      <c r="M13" s="23">
        <f t="shared" si="0"/>
        <v>2255.7167754292072</v>
      </c>
      <c r="N13" s="16">
        <f t="shared" si="3"/>
        <v>5592.3911863116355</v>
      </c>
      <c r="O13" s="25">
        <f t="shared" si="1"/>
        <v>3336.6744108824282</v>
      </c>
      <c r="P13" s="1">
        <f t="shared" si="7"/>
        <v>45201.508950385811</v>
      </c>
      <c r="Q13" s="23">
        <f t="shared" si="4"/>
        <v>9903.6506110295304</v>
      </c>
      <c r="R13" s="16">
        <f t="shared" si="5"/>
        <v>6168.2753863116359</v>
      </c>
      <c r="S13" s="27">
        <f t="shared" si="6"/>
        <v>3735.3752247178945</v>
      </c>
    </row>
    <row r="14" spans="2:19" ht="15.75" thickBot="1">
      <c r="F14" s="10" t="s">
        <v>20</v>
      </c>
      <c r="G14" s="11">
        <v>8.9599999999999999E-2</v>
      </c>
      <c r="H14" s="12" t="s">
        <v>58</v>
      </c>
      <c r="K14" s="21" t="s">
        <v>55</v>
      </c>
      <c r="L14" s="16">
        <f t="shared" si="2"/>
        <v>39224.019465140351</v>
      </c>
      <c r="M14" s="23">
        <f t="shared" si="0"/>
        <v>2078.8730316524384</v>
      </c>
      <c r="N14" s="16">
        <f t="shared" si="3"/>
        <v>5592.3911863116355</v>
      </c>
      <c r="O14" s="25">
        <f t="shared" si="1"/>
        <v>3513.5181546591971</v>
      </c>
      <c r="P14" s="1">
        <f t="shared" si="7"/>
        <v>44975.501405633884</v>
      </c>
      <c r="Q14" s="23">
        <f t="shared" si="4"/>
        <v>9854.1323579743839</v>
      </c>
      <c r="R14" s="16">
        <f t="shared" si="5"/>
        <v>6168.2753863116359</v>
      </c>
      <c r="S14" s="27">
        <f t="shared" si="6"/>
        <v>3685.856971662748</v>
      </c>
    </row>
    <row r="15" spans="2:19" ht="15.75" thickTop="1">
      <c r="F15" s="13"/>
      <c r="G15" s="14"/>
      <c r="H15" s="15"/>
      <c r="K15" s="21" t="s">
        <v>56</v>
      </c>
      <c r="L15" s="16">
        <f t="shared" si="2"/>
        <v>35710.501310481151</v>
      </c>
      <c r="M15" s="23">
        <f t="shared" si="0"/>
        <v>1892.6565694555011</v>
      </c>
      <c r="N15" s="16">
        <f t="shared" si="3"/>
        <v>5592.3911863116355</v>
      </c>
      <c r="O15" s="25">
        <f t="shared" si="1"/>
        <v>3699.7346168561344</v>
      </c>
      <c r="P15" s="1">
        <f t="shared" si="7"/>
        <v>44750.623898605714</v>
      </c>
      <c r="Q15" s="23">
        <f t="shared" si="4"/>
        <v>9804.8616961845109</v>
      </c>
      <c r="R15" s="16">
        <f t="shared" si="5"/>
        <v>6168.2753863116359</v>
      </c>
      <c r="S15" s="27">
        <f t="shared" si="6"/>
        <v>3636.5863098728751</v>
      </c>
    </row>
    <row r="16" spans="2:19">
      <c r="K16" s="21" t="s">
        <v>35</v>
      </c>
      <c r="L16" s="16">
        <f t="shared" si="2"/>
        <v>32010.766693625017</v>
      </c>
      <c r="M16" s="23">
        <f t="shared" si="0"/>
        <v>1696.5706347621258</v>
      </c>
      <c r="N16" s="16">
        <f t="shared" si="3"/>
        <v>5592.3911863116355</v>
      </c>
      <c r="O16" s="25">
        <f t="shared" si="1"/>
        <v>3895.8205515495097</v>
      </c>
      <c r="P16" s="1">
        <f t="shared" si="7"/>
        <v>44526.870779112687</v>
      </c>
      <c r="Q16" s="23">
        <f t="shared" si="4"/>
        <v>9755.8373877035901</v>
      </c>
      <c r="R16" s="16">
        <f t="shared" si="5"/>
        <v>6168.2753863116359</v>
      </c>
      <c r="S16" s="27">
        <f t="shared" si="6"/>
        <v>3587.5620013919543</v>
      </c>
    </row>
    <row r="17" spans="11:19">
      <c r="K17" s="21" t="s">
        <v>36</v>
      </c>
      <c r="L17" s="16">
        <f t="shared" si="2"/>
        <v>28114.946142075507</v>
      </c>
      <c r="M17" s="23">
        <f t="shared" si="0"/>
        <v>1490.0921455300017</v>
      </c>
      <c r="N17" s="16">
        <f t="shared" si="3"/>
        <v>5592.3911863116355</v>
      </c>
      <c r="O17" s="25">
        <f t="shared" si="1"/>
        <v>4102.2990407816342</v>
      </c>
      <c r="P17" s="1">
        <f t="shared" si="7"/>
        <v>44304.236425217125</v>
      </c>
      <c r="Q17" s="23">
        <f t="shared" si="4"/>
        <v>9707.0582007650719</v>
      </c>
      <c r="R17" s="16">
        <f t="shared" si="5"/>
        <v>6168.2753863116359</v>
      </c>
      <c r="S17" s="27">
        <f t="shared" si="6"/>
        <v>3538.782814453436</v>
      </c>
    </row>
    <row r="18" spans="11:19">
      <c r="K18" s="21" t="s">
        <v>37</v>
      </c>
      <c r="L18" s="16">
        <f t="shared" si="2"/>
        <v>24012.647101293871</v>
      </c>
      <c r="M18" s="23">
        <f t="shared" si="0"/>
        <v>1272.6702963685752</v>
      </c>
      <c r="N18" s="16">
        <f t="shared" si="3"/>
        <v>5592.3911863116355</v>
      </c>
      <c r="O18" s="25">
        <f t="shared" si="1"/>
        <v>4319.7208899430607</v>
      </c>
      <c r="P18" s="1">
        <f t="shared" si="7"/>
        <v>44082.715243091036</v>
      </c>
      <c r="Q18" s="23">
        <f>P18*$G$14</f>
        <v>3949.811285780957</v>
      </c>
      <c r="R18" s="16">
        <f t="shared" si="5"/>
        <v>6168.2753863116359</v>
      </c>
      <c r="S18" s="28">
        <f t="shared" si="6"/>
        <v>-2218.4641005306789</v>
      </c>
    </row>
    <row r="19" spans="11:19">
      <c r="K19" s="21" t="s">
        <v>38</v>
      </c>
      <c r="L19" s="16">
        <f t="shared" si="2"/>
        <v>19692.926211350808</v>
      </c>
      <c r="M19" s="23">
        <f t="shared" si="0"/>
        <v>1043.7250892015927</v>
      </c>
      <c r="N19" s="16">
        <f t="shared" si="3"/>
        <v>5592.3911863116355</v>
      </c>
      <c r="O19" s="25">
        <f t="shared" si="1"/>
        <v>4548.6660971100428</v>
      </c>
      <c r="P19" s="1">
        <f t="shared" si="7"/>
        <v>43862.301666875581</v>
      </c>
      <c r="Q19" s="23">
        <f t="shared" ref="Q19:Q27" si="8">P19*$G$14</f>
        <v>3930.0622293520519</v>
      </c>
      <c r="R19" s="16">
        <f t="shared" si="5"/>
        <v>6168.2753863116359</v>
      </c>
      <c r="S19" s="28">
        <f t="shared" si="6"/>
        <v>-2238.213156959584</v>
      </c>
    </row>
    <row r="20" spans="11:19">
      <c r="K20" s="21" t="s">
        <v>39</v>
      </c>
      <c r="L20" s="16">
        <f t="shared" si="2"/>
        <v>15144.260114240766</v>
      </c>
      <c r="M20" s="23">
        <f t="shared" si="0"/>
        <v>802.64578605476061</v>
      </c>
      <c r="N20" s="16">
        <f t="shared" si="3"/>
        <v>5592.3911863116355</v>
      </c>
      <c r="O20" s="25">
        <f t="shared" si="1"/>
        <v>4789.7454002568747</v>
      </c>
      <c r="P20" s="1">
        <f t="shared" si="7"/>
        <v>43642.990158541201</v>
      </c>
      <c r="Q20" s="23">
        <f t="shared" si="8"/>
        <v>3910.4119182052914</v>
      </c>
      <c r="R20" s="16">
        <f t="shared" si="5"/>
        <v>6168.2753863116359</v>
      </c>
      <c r="S20" s="28">
        <f t="shared" si="6"/>
        <v>-2257.8634681063445</v>
      </c>
    </row>
    <row r="21" spans="11:19">
      <c r="K21" s="21" t="s">
        <v>40</v>
      </c>
      <c r="L21" s="16">
        <f t="shared" si="2"/>
        <v>10354.514713983892</v>
      </c>
      <c r="M21" s="23">
        <f t="shared" si="0"/>
        <v>548.78927984114625</v>
      </c>
      <c r="N21" s="16">
        <f t="shared" si="3"/>
        <v>5592.3911863116355</v>
      </c>
      <c r="O21" s="25">
        <f t="shared" si="1"/>
        <v>5043.6019064704888</v>
      </c>
      <c r="P21" s="1">
        <f t="shared" si="7"/>
        <v>43424.775207748498</v>
      </c>
      <c r="Q21" s="23">
        <f t="shared" si="8"/>
        <v>3890.8598586142652</v>
      </c>
      <c r="R21" s="16">
        <f t="shared" si="5"/>
        <v>6168.2753863116359</v>
      </c>
      <c r="S21" s="28">
        <f t="shared" si="6"/>
        <v>-2277.4155276973706</v>
      </c>
    </row>
    <row r="22" spans="11:19">
      <c r="K22" s="21" t="s">
        <v>41</v>
      </c>
      <c r="L22" s="16">
        <f t="shared" si="2"/>
        <v>5310.9128075134031</v>
      </c>
      <c r="M22" s="23">
        <f t="shared" si="0"/>
        <v>281.47837879821037</v>
      </c>
      <c r="N22" s="16">
        <f t="shared" si="3"/>
        <v>5592.3911863116355</v>
      </c>
      <c r="O22" s="25">
        <f t="shared" si="1"/>
        <v>5310.9128075134249</v>
      </c>
      <c r="P22" s="1">
        <f t="shared" si="7"/>
        <v>43207.651331709756</v>
      </c>
      <c r="Q22" s="23">
        <f t="shared" si="8"/>
        <v>3871.4055593211942</v>
      </c>
      <c r="R22" s="16">
        <f t="shared" si="5"/>
        <v>6168.2753863116359</v>
      </c>
      <c r="S22" s="28">
        <f t="shared" si="6"/>
        <v>-2296.8698269904417</v>
      </c>
    </row>
    <row r="23" spans="11:19">
      <c r="K23" s="21" t="s">
        <v>42</v>
      </c>
      <c r="L23" s="16">
        <f t="shared" si="2"/>
        <v>-2.1827872842550278E-11</v>
      </c>
      <c r="M23" s="23">
        <v>0</v>
      </c>
      <c r="N23" s="17">
        <v>0</v>
      </c>
      <c r="O23" s="25">
        <f t="shared" si="1"/>
        <v>0</v>
      </c>
      <c r="P23" s="1">
        <f t="shared" si="7"/>
        <v>42991.613075051209</v>
      </c>
      <c r="Q23" s="23">
        <f t="shared" si="8"/>
        <v>3852.0485315245883</v>
      </c>
      <c r="R23" s="16">
        <f t="shared" si="5"/>
        <v>575.88419999999996</v>
      </c>
      <c r="S23" s="27">
        <f t="shared" si="6"/>
        <v>3276.1643315245883</v>
      </c>
    </row>
    <row r="24" spans="11:19">
      <c r="K24" s="21" t="s">
        <v>43</v>
      </c>
      <c r="L24" s="16">
        <f t="shared" si="2"/>
        <v>-2.1827872842550278E-11</v>
      </c>
      <c r="M24" s="23">
        <v>0</v>
      </c>
      <c r="N24" s="17">
        <v>0</v>
      </c>
      <c r="O24" s="25">
        <f t="shared" si="1"/>
        <v>0</v>
      </c>
      <c r="P24" s="1">
        <f t="shared" si="7"/>
        <v>42776.655009675953</v>
      </c>
      <c r="Q24" s="23">
        <f t="shared" si="8"/>
        <v>3832.7882888669656</v>
      </c>
      <c r="R24" s="16">
        <f t="shared" si="5"/>
        <v>575.88419999999996</v>
      </c>
      <c r="S24" s="27">
        <f t="shared" si="6"/>
        <v>3256.9040888669656</v>
      </c>
    </row>
    <row r="25" spans="11:19">
      <c r="K25" s="21" t="s">
        <v>44</v>
      </c>
      <c r="L25" s="16">
        <f t="shared" si="2"/>
        <v>-2.1827872842550278E-11</v>
      </c>
      <c r="M25" s="23">
        <v>0</v>
      </c>
      <c r="N25" s="17">
        <v>0</v>
      </c>
      <c r="O25" s="25">
        <f t="shared" si="1"/>
        <v>0</v>
      </c>
      <c r="P25" s="1">
        <f t="shared" si="7"/>
        <v>42562.771734627575</v>
      </c>
      <c r="Q25" s="23">
        <f t="shared" si="8"/>
        <v>3813.6243474226308</v>
      </c>
      <c r="R25" s="16">
        <f t="shared" si="5"/>
        <v>575.88419999999996</v>
      </c>
      <c r="S25" s="27">
        <f t="shared" si="6"/>
        <v>3237.7401474226308</v>
      </c>
    </row>
    <row r="26" spans="11:19">
      <c r="K26" s="21" t="s">
        <v>45</v>
      </c>
      <c r="L26" s="16">
        <f t="shared" si="2"/>
        <v>-2.1827872842550278E-11</v>
      </c>
      <c r="M26" s="23">
        <v>0</v>
      </c>
      <c r="N26" s="17">
        <v>0</v>
      </c>
      <c r="O26" s="25">
        <f t="shared" si="1"/>
        <v>0</v>
      </c>
      <c r="P26" s="1">
        <f t="shared" si="7"/>
        <v>42349.957875954438</v>
      </c>
      <c r="Q26" s="23">
        <f t="shared" si="8"/>
        <v>3794.5562256855178</v>
      </c>
      <c r="R26" s="16">
        <f t="shared" si="5"/>
        <v>575.88419999999996</v>
      </c>
      <c r="S26" s="27">
        <f t="shared" si="6"/>
        <v>3218.6720256855178</v>
      </c>
    </row>
    <row r="27" spans="11:19" ht="15.75" thickBot="1">
      <c r="K27" s="22" t="s">
        <v>46</v>
      </c>
      <c r="L27" s="19">
        <f t="shared" si="2"/>
        <v>-2.1827872842550278E-11</v>
      </c>
      <c r="M27" s="24">
        <v>0</v>
      </c>
      <c r="N27" s="20">
        <v>0</v>
      </c>
      <c r="O27" s="26">
        <f t="shared" si="1"/>
        <v>0</v>
      </c>
      <c r="P27" s="2">
        <f t="shared" si="7"/>
        <v>42138.208086574668</v>
      </c>
      <c r="Q27" s="24">
        <f t="shared" si="8"/>
        <v>3775.5834445570904</v>
      </c>
      <c r="R27" s="19">
        <f t="shared" si="5"/>
        <v>575.88419999999996</v>
      </c>
      <c r="S27" s="29">
        <f t="shared" si="6"/>
        <v>3199.6992445570904</v>
      </c>
    </row>
    <row r="28" spans="11:19" ht="16.5" thickTop="1" thickBot="1">
      <c r="Q28" s="40" t="s">
        <v>57</v>
      </c>
      <c r="R28" s="40"/>
      <c r="S28" s="30">
        <f>SUM(S3:S27)</f>
        <v>63217.141010848762</v>
      </c>
    </row>
    <row r="29" spans="11:19" ht="15.75" thickTop="1"/>
  </sheetData>
  <mergeCells count="3">
    <mergeCell ref="B2:D2"/>
    <mergeCell ref="F2:H2"/>
    <mergeCell ref="Q28:R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2020-04-30T12:37:22Z</dcterms:created>
  <dcterms:modified xsi:type="dcterms:W3CDTF">2020-05-27T12:12:03Z</dcterms:modified>
</cp:coreProperties>
</file>