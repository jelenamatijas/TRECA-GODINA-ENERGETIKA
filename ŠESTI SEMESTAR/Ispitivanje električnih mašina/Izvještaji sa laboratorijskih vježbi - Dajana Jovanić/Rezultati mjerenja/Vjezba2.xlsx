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Sheet1!$D$20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Sheet1!$G$20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380</definedName>
  </definedNames>
  <calcPr calcId="125725"/>
</workbook>
</file>

<file path=xl/calcChain.xml><?xml version="1.0" encoding="utf-8"?>
<calcChain xmlns="http://schemas.openxmlformats.org/spreadsheetml/2006/main">
  <c r="Z4" i="1"/>
  <c r="Z5"/>
  <c r="Z6"/>
  <c r="Z7"/>
  <c r="Z8"/>
  <c r="Z3"/>
  <c r="Y4" l="1"/>
  <c r="Y5"/>
  <c r="Y6"/>
  <c r="Y7"/>
  <c r="Y8"/>
  <c r="Y3"/>
  <c r="V4"/>
  <c r="V5"/>
  <c r="V6"/>
  <c r="V7"/>
  <c r="V8"/>
  <c r="V3"/>
  <c r="S4"/>
  <c r="S5"/>
  <c r="S6"/>
  <c r="S7"/>
  <c r="S8"/>
  <c r="S3"/>
  <c r="P4"/>
  <c r="P5"/>
  <c r="P6"/>
  <c r="P7"/>
  <c r="P8"/>
  <c r="P3"/>
  <c r="M4"/>
  <c r="M5"/>
  <c r="M6"/>
  <c r="M7"/>
  <c r="M8"/>
  <c r="M9"/>
  <c r="M10"/>
  <c r="M11"/>
  <c r="M12"/>
  <c r="M13"/>
  <c r="M14"/>
  <c r="M15"/>
  <c r="M3"/>
  <c r="J4"/>
  <c r="J5"/>
  <c r="J6"/>
  <c r="J7"/>
  <c r="J8"/>
  <c r="J9"/>
  <c r="J10"/>
  <c r="J11"/>
  <c r="J12"/>
  <c r="J13"/>
  <c r="J14"/>
  <c r="J15"/>
  <c r="J3"/>
  <c r="G4"/>
  <c r="G5"/>
  <c r="G6"/>
  <c r="G7"/>
  <c r="G8"/>
  <c r="G9"/>
  <c r="G10"/>
  <c r="G11"/>
  <c r="G12"/>
  <c r="G13"/>
  <c r="G14"/>
  <c r="G15"/>
  <c r="G3"/>
  <c r="D4"/>
  <c r="D5"/>
  <c r="D6"/>
  <c r="D7"/>
  <c r="D8"/>
  <c r="D9"/>
  <c r="D10"/>
  <c r="D11"/>
  <c r="D12"/>
  <c r="D13"/>
  <c r="D14"/>
  <c r="D15"/>
  <c r="D3"/>
</calcChain>
</file>

<file path=xl/sharedStrings.xml><?xml version="1.0" encoding="utf-8"?>
<sst xmlns="http://schemas.openxmlformats.org/spreadsheetml/2006/main" count="26" uniqueCount="12">
  <si>
    <t>Redni broj mjerenja</t>
  </si>
  <si>
    <t>Ipo(1)</t>
  </si>
  <si>
    <t>Eo(1)</t>
  </si>
  <si>
    <t>Ipo(2)</t>
  </si>
  <si>
    <t>E0(2)</t>
  </si>
  <si>
    <t>Ipk</t>
  </si>
  <si>
    <t>Iak</t>
  </si>
  <si>
    <t>Ibk</t>
  </si>
  <si>
    <t>Ick</t>
  </si>
  <si>
    <t>α</t>
  </si>
  <si>
    <t>k</t>
  </si>
  <si>
    <t>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</si>
</sst>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tx>
            <c:v>uzlazna karakteristika</c:v>
          </c:tx>
          <c:marker>
            <c:symbol val="none"/>
          </c:marker>
          <c:xVal>
            <c:numRef>
              <c:f>Sheet1!$D$3:$D$15</c:f>
              <c:numCache>
                <c:formatCode>General</c:formatCode>
                <c:ptCount val="13"/>
                <c:pt idx="0">
                  <c:v>0.05</c:v>
                </c:pt>
                <c:pt idx="1">
                  <c:v>7.0000000000000007E-2</c:v>
                </c:pt>
                <c:pt idx="2">
                  <c:v>0.09</c:v>
                </c:pt>
                <c:pt idx="3">
                  <c:v>0.11</c:v>
                </c:pt>
                <c:pt idx="4">
                  <c:v>0.15</c:v>
                </c:pt>
                <c:pt idx="5">
                  <c:v>0.19500000000000001</c:v>
                </c:pt>
                <c:pt idx="6">
                  <c:v>0.26</c:v>
                </c:pt>
                <c:pt idx="7">
                  <c:v>0.28000000000000003</c:v>
                </c:pt>
                <c:pt idx="8">
                  <c:v>0.315</c:v>
                </c:pt>
                <c:pt idx="9">
                  <c:v>0.35</c:v>
                </c:pt>
                <c:pt idx="10">
                  <c:v>0.39500000000000002</c:v>
                </c:pt>
                <c:pt idx="11">
                  <c:v>0.47</c:v>
                </c:pt>
                <c:pt idx="12">
                  <c:v>0.56000000000000005</c:v>
                </c:pt>
              </c:numCache>
            </c:numRef>
          </c:xVal>
          <c:yVal>
            <c:numRef>
              <c:f>Sheet1!$G$3:$G$15</c:f>
              <c:numCache>
                <c:formatCode>General</c:formatCode>
                <c:ptCount val="13"/>
                <c:pt idx="0">
                  <c:v>61</c:v>
                </c:pt>
                <c:pt idx="1">
                  <c:v>90</c:v>
                </c:pt>
                <c:pt idx="2">
                  <c:v>120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320</c:v>
                </c:pt>
                <c:pt idx="8">
                  <c:v>340</c:v>
                </c:pt>
                <c:pt idx="9">
                  <c:v>360</c:v>
                </c:pt>
                <c:pt idx="10">
                  <c:v>380</c:v>
                </c:pt>
                <c:pt idx="11">
                  <c:v>400</c:v>
                </c:pt>
                <c:pt idx="12">
                  <c:v>420</c:v>
                </c:pt>
              </c:numCache>
            </c:numRef>
          </c:yVal>
        </c:ser>
        <c:ser>
          <c:idx val="1"/>
          <c:order val="1"/>
          <c:tx>
            <c:v>silazna karakteristika</c:v>
          </c:tx>
          <c:marker>
            <c:symbol val="none"/>
          </c:marker>
          <c:xVal>
            <c:numRef>
              <c:f>Sheet1!$J$3:$J$15</c:f>
              <c:numCache>
                <c:formatCode>General</c:formatCode>
                <c:ptCount val="13"/>
                <c:pt idx="0">
                  <c:v>0.56000000000000005</c:v>
                </c:pt>
                <c:pt idx="1">
                  <c:v>0.45</c:v>
                </c:pt>
                <c:pt idx="2">
                  <c:v>0.375</c:v>
                </c:pt>
                <c:pt idx="3">
                  <c:v>0.33</c:v>
                </c:pt>
                <c:pt idx="4">
                  <c:v>0.29499999999999998</c:v>
                </c:pt>
                <c:pt idx="5">
                  <c:v>0.26500000000000001</c:v>
                </c:pt>
                <c:pt idx="6">
                  <c:v>0.24</c:v>
                </c:pt>
                <c:pt idx="7">
                  <c:v>0.185</c:v>
                </c:pt>
                <c:pt idx="8">
                  <c:v>0.14000000000000001</c:v>
                </c:pt>
                <c:pt idx="9">
                  <c:v>0.105</c:v>
                </c:pt>
                <c:pt idx="10">
                  <c:v>8.5000000000000006E-2</c:v>
                </c:pt>
                <c:pt idx="11">
                  <c:v>6.5000000000000002E-2</c:v>
                </c:pt>
                <c:pt idx="12">
                  <c:v>0.05</c:v>
                </c:pt>
              </c:numCache>
            </c:numRef>
          </c:xVal>
          <c:yVal>
            <c:numRef>
              <c:f>Sheet1!$M$3:$M$15</c:f>
              <c:numCache>
                <c:formatCode>General</c:formatCode>
                <c:ptCount val="13"/>
                <c:pt idx="0">
                  <c:v>420</c:v>
                </c:pt>
                <c:pt idx="1">
                  <c:v>400</c:v>
                </c:pt>
                <c:pt idx="2">
                  <c:v>380</c:v>
                </c:pt>
                <c:pt idx="3">
                  <c:v>360</c:v>
                </c:pt>
                <c:pt idx="4">
                  <c:v>340</c:v>
                </c:pt>
                <c:pt idx="5">
                  <c:v>320</c:v>
                </c:pt>
                <c:pt idx="6">
                  <c:v>300</c:v>
                </c:pt>
                <c:pt idx="7">
                  <c:v>250</c:v>
                </c:pt>
                <c:pt idx="8">
                  <c:v>200</c:v>
                </c:pt>
                <c:pt idx="9">
                  <c:v>144</c:v>
                </c:pt>
                <c:pt idx="10">
                  <c:v>120</c:v>
                </c:pt>
                <c:pt idx="11">
                  <c:v>89</c:v>
                </c:pt>
                <c:pt idx="12">
                  <c:v>64</c:v>
                </c:pt>
              </c:numCache>
            </c:numRef>
          </c:yVal>
        </c:ser>
        <c:axId val="53687040"/>
        <c:axId val="53120000"/>
      </c:scatterChart>
      <c:valAx>
        <c:axId val="53687040"/>
        <c:scaling>
          <c:orientation val="minMax"/>
        </c:scaling>
        <c:axPos val="b"/>
        <c:numFmt formatCode="General" sourceLinked="1"/>
        <c:tickLblPos val="nextTo"/>
        <c:crossAx val="53120000"/>
        <c:crosses val="autoZero"/>
        <c:crossBetween val="midCat"/>
      </c:valAx>
      <c:valAx>
        <c:axId val="53120000"/>
        <c:scaling>
          <c:orientation val="minMax"/>
        </c:scaling>
        <c:axPos val="l"/>
        <c:majorGridlines/>
        <c:numFmt formatCode="General" sourceLinked="1"/>
        <c:tickLblPos val="nextTo"/>
        <c:crossAx val="5368704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title>
      <c:layout/>
    </c:title>
    <c:plotArea>
      <c:layout/>
      <c:scatterChart>
        <c:scatterStyle val="lineMarker"/>
        <c:ser>
          <c:idx val="0"/>
          <c:order val="0"/>
          <c:tx>
            <c:v>karakteristika KS</c:v>
          </c:tx>
          <c:marker>
            <c:symbol val="none"/>
          </c:marker>
          <c:xVal>
            <c:numRef>
              <c:f>Sheet1!$P$3:$P$8</c:f>
              <c:numCache>
                <c:formatCode>General</c:formatCode>
                <c:ptCount val="6"/>
                <c:pt idx="0">
                  <c:v>0.68</c:v>
                </c:pt>
                <c:pt idx="1">
                  <c:v>0.88</c:v>
                </c:pt>
                <c:pt idx="2">
                  <c:v>1.1200000000000001</c:v>
                </c:pt>
                <c:pt idx="3">
                  <c:v>1.35</c:v>
                </c:pt>
                <c:pt idx="4">
                  <c:v>1.6</c:v>
                </c:pt>
                <c:pt idx="5">
                  <c:v>1.85</c:v>
                </c:pt>
              </c:numCache>
            </c:numRef>
          </c:xVal>
          <c:yVal>
            <c:numRef>
              <c:f>Sheet1!$Z$3:$Z$8</c:f>
              <c:numCache>
                <c:formatCode>0.00</c:formatCode>
                <c:ptCount val="6"/>
                <c:pt idx="0">
                  <c:v>5.333333333333333</c:v>
                </c:pt>
                <c:pt idx="1">
                  <c:v>7</c:v>
                </c:pt>
                <c:pt idx="2">
                  <c:v>9.1666666666666661</c:v>
                </c:pt>
                <c:pt idx="3">
                  <c:v>11.083333333333334</c:v>
                </c:pt>
                <c:pt idx="4">
                  <c:v>13.083333333333334</c:v>
                </c:pt>
                <c:pt idx="5">
                  <c:v>14.666666666666666</c:v>
                </c:pt>
              </c:numCache>
            </c:numRef>
          </c:yVal>
        </c:ser>
        <c:axId val="53353088"/>
        <c:axId val="53351552"/>
      </c:scatterChart>
      <c:valAx>
        <c:axId val="53353088"/>
        <c:scaling>
          <c:orientation val="minMax"/>
        </c:scaling>
        <c:axPos val="b"/>
        <c:numFmt formatCode="General" sourceLinked="1"/>
        <c:tickLblPos val="nextTo"/>
        <c:crossAx val="53351552"/>
        <c:crosses val="autoZero"/>
        <c:crossBetween val="midCat"/>
      </c:valAx>
      <c:valAx>
        <c:axId val="53351552"/>
        <c:scaling>
          <c:orientation val="minMax"/>
        </c:scaling>
        <c:axPos val="l"/>
        <c:majorGridlines/>
        <c:numFmt formatCode="0.00" sourceLinked="1"/>
        <c:tickLblPos val="nextTo"/>
        <c:crossAx val="5335308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47624</xdr:colOff>
      <xdr:row>1</xdr:row>
      <xdr:rowOff>0</xdr:rowOff>
    </xdr:from>
    <xdr:to>
      <xdr:col>36</xdr:col>
      <xdr:colOff>390525</xdr:colOff>
      <xdr:row>13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66674</xdr:colOff>
      <xdr:row>15</xdr:row>
      <xdr:rowOff>19050</xdr:rowOff>
    </xdr:from>
    <xdr:to>
      <xdr:col>36</xdr:col>
      <xdr:colOff>419099</xdr:colOff>
      <xdr:row>29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0"/>
  <sheetViews>
    <sheetView tabSelected="1" workbookViewId="0">
      <selection activeCell="Z3" sqref="Z3"/>
    </sheetView>
  </sheetViews>
  <sheetFormatPr defaultRowHeight="15"/>
  <cols>
    <col min="1" max="1" width="18.5703125" customWidth="1"/>
    <col min="2" max="2" width="6" bestFit="1" customWidth="1"/>
    <col min="3" max="3" width="2" bestFit="1" customWidth="1"/>
    <col min="4" max="4" width="6" bestFit="1" customWidth="1"/>
    <col min="5" max="5" width="4" bestFit="1" customWidth="1"/>
    <col min="6" max="6" width="2" bestFit="1" customWidth="1"/>
    <col min="7" max="7" width="4" bestFit="1" customWidth="1"/>
    <col min="8" max="8" width="6" bestFit="1" customWidth="1"/>
    <col min="9" max="9" width="2" bestFit="1" customWidth="1"/>
    <col min="10" max="10" width="6" bestFit="1" customWidth="1"/>
    <col min="11" max="11" width="4" bestFit="1" customWidth="1"/>
    <col min="12" max="12" width="2" bestFit="1" customWidth="1"/>
    <col min="13" max="13" width="4" bestFit="1" customWidth="1"/>
    <col min="14" max="14" width="5" bestFit="1" customWidth="1"/>
    <col min="15" max="15" width="2" bestFit="1" customWidth="1"/>
    <col min="16" max="16" width="5" bestFit="1" customWidth="1"/>
    <col min="17" max="17" width="3" bestFit="1" customWidth="1"/>
    <col min="18" max="18" width="2" bestFit="1" customWidth="1"/>
    <col min="19" max="19" width="3" bestFit="1" customWidth="1"/>
    <col min="20" max="20" width="5" bestFit="1" customWidth="1"/>
    <col min="21" max="21" width="2" bestFit="1" customWidth="1"/>
    <col min="22" max="22" width="5" bestFit="1" customWidth="1"/>
    <col min="23" max="23" width="6" bestFit="1" customWidth="1"/>
    <col min="24" max="24" width="2" bestFit="1" customWidth="1"/>
    <col min="25" max="25" width="6" bestFit="1" customWidth="1"/>
    <col min="26" max="26" width="5.5703125" bestFit="1" customWidth="1"/>
  </cols>
  <sheetData>
    <row r="1" spans="1:26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2" t="s">
        <v>6</v>
      </c>
      <c r="R1" s="2"/>
      <c r="S1" s="2"/>
      <c r="T1" s="2" t="s">
        <v>7</v>
      </c>
      <c r="U1" s="2"/>
      <c r="V1" s="2"/>
      <c r="W1" s="2" t="s">
        <v>8</v>
      </c>
      <c r="X1" s="2"/>
      <c r="Y1" s="2"/>
      <c r="Z1" s="3" t="s">
        <v>11</v>
      </c>
    </row>
    <row r="2" spans="1:26">
      <c r="A2" s="1"/>
      <c r="B2" s="3" t="s">
        <v>9</v>
      </c>
      <c r="C2" s="3" t="s">
        <v>10</v>
      </c>
      <c r="D2" s="3"/>
      <c r="E2" s="3" t="s">
        <v>9</v>
      </c>
      <c r="F2" s="3" t="s">
        <v>10</v>
      </c>
      <c r="G2" s="3"/>
      <c r="H2" s="3" t="s">
        <v>9</v>
      </c>
      <c r="I2" s="3" t="s">
        <v>10</v>
      </c>
      <c r="J2" s="3"/>
      <c r="K2" s="3" t="s">
        <v>9</v>
      </c>
      <c r="L2" s="3" t="s">
        <v>10</v>
      </c>
      <c r="M2" s="3"/>
      <c r="N2" s="3" t="s">
        <v>9</v>
      </c>
      <c r="O2" s="3" t="s">
        <v>10</v>
      </c>
      <c r="P2" s="3"/>
      <c r="Q2" s="3" t="s">
        <v>9</v>
      </c>
      <c r="R2" s="3" t="s">
        <v>10</v>
      </c>
      <c r="S2" s="3"/>
      <c r="T2" s="3" t="s">
        <v>9</v>
      </c>
      <c r="U2" s="3" t="s">
        <v>10</v>
      </c>
      <c r="V2" s="3"/>
      <c r="W2" s="3" t="s">
        <v>9</v>
      </c>
      <c r="X2" s="3" t="s">
        <v>10</v>
      </c>
      <c r="Y2" s="3"/>
    </row>
    <row r="3" spans="1:26">
      <c r="A3" s="3">
        <v>1</v>
      </c>
      <c r="B3">
        <v>0.05</v>
      </c>
      <c r="C3">
        <v>1</v>
      </c>
      <c r="D3" s="4">
        <f>B3*C3</f>
        <v>0.05</v>
      </c>
      <c r="E3">
        <v>61</v>
      </c>
      <c r="F3">
        <v>1</v>
      </c>
      <c r="G3" s="4">
        <f>E3*F3</f>
        <v>61</v>
      </c>
      <c r="H3">
        <v>0.56000000000000005</v>
      </c>
      <c r="I3">
        <v>1</v>
      </c>
      <c r="J3" s="4">
        <f>H3*I3</f>
        <v>0.56000000000000005</v>
      </c>
      <c r="K3">
        <v>420</v>
      </c>
      <c r="L3">
        <v>1</v>
      </c>
      <c r="M3" s="4">
        <f>K3*L3</f>
        <v>420</v>
      </c>
      <c r="N3">
        <v>0.68</v>
      </c>
      <c r="O3">
        <v>1</v>
      </c>
      <c r="P3" s="4">
        <f>N3*O3</f>
        <v>0.68</v>
      </c>
      <c r="Q3">
        <v>5</v>
      </c>
      <c r="R3">
        <v>1</v>
      </c>
      <c r="S3" s="4">
        <f>Q3*R3</f>
        <v>5</v>
      </c>
      <c r="T3">
        <v>5.5</v>
      </c>
      <c r="U3">
        <v>1</v>
      </c>
      <c r="V3" s="4">
        <f>T3*U3</f>
        <v>5.5</v>
      </c>
      <c r="W3">
        <v>5.5</v>
      </c>
      <c r="X3">
        <v>1</v>
      </c>
      <c r="Y3" s="4">
        <f>W3*X3</f>
        <v>5.5</v>
      </c>
      <c r="Z3" s="5">
        <f>(S3+V3+Y3)/3</f>
        <v>5.333333333333333</v>
      </c>
    </row>
    <row r="4" spans="1:26">
      <c r="A4" s="3">
        <v>2</v>
      </c>
      <c r="B4">
        <v>7.0000000000000007E-2</v>
      </c>
      <c r="C4">
        <v>1</v>
      </c>
      <c r="D4" s="4">
        <f t="shared" ref="D4:D15" si="0">B4*C4</f>
        <v>7.0000000000000007E-2</v>
      </c>
      <c r="E4">
        <v>90</v>
      </c>
      <c r="F4">
        <v>1</v>
      </c>
      <c r="G4" s="4">
        <f t="shared" ref="G4:G15" si="1">E4*F4</f>
        <v>90</v>
      </c>
      <c r="H4">
        <v>0.45</v>
      </c>
      <c r="I4">
        <v>1</v>
      </c>
      <c r="J4" s="4">
        <f t="shared" ref="J4:J15" si="2">H4*I4</f>
        <v>0.45</v>
      </c>
      <c r="K4">
        <v>400</v>
      </c>
      <c r="L4">
        <v>1</v>
      </c>
      <c r="M4" s="4">
        <f t="shared" ref="M4:M15" si="3">K4*L4</f>
        <v>400</v>
      </c>
      <c r="N4">
        <v>0.88</v>
      </c>
      <c r="O4">
        <v>1</v>
      </c>
      <c r="P4" s="4">
        <f t="shared" ref="P4:P8" si="4">N4*O4</f>
        <v>0.88</v>
      </c>
      <c r="Q4">
        <v>7</v>
      </c>
      <c r="R4">
        <v>1</v>
      </c>
      <c r="S4" s="4">
        <f t="shared" ref="S4:S8" si="5">Q4*R4</f>
        <v>7</v>
      </c>
      <c r="T4">
        <v>7</v>
      </c>
      <c r="U4">
        <v>1</v>
      </c>
      <c r="V4" s="4">
        <f t="shared" ref="V4:V8" si="6">T4*U4</f>
        <v>7</v>
      </c>
      <c r="W4">
        <v>7</v>
      </c>
      <c r="X4">
        <v>1</v>
      </c>
      <c r="Y4" s="4">
        <f t="shared" ref="Y4:Y8" si="7">W4*X4</f>
        <v>7</v>
      </c>
      <c r="Z4" s="5">
        <f t="shared" ref="Z4:Z8" si="8">(S4+V4+Y4)/3</f>
        <v>7</v>
      </c>
    </row>
    <row r="5" spans="1:26">
      <c r="A5" s="3">
        <v>3</v>
      </c>
      <c r="B5">
        <v>0.09</v>
      </c>
      <c r="C5">
        <v>1</v>
      </c>
      <c r="D5" s="4">
        <f t="shared" si="0"/>
        <v>0.09</v>
      </c>
      <c r="E5">
        <v>120</v>
      </c>
      <c r="F5">
        <v>1</v>
      </c>
      <c r="G5" s="4">
        <f t="shared" si="1"/>
        <v>120</v>
      </c>
      <c r="H5">
        <v>0.375</v>
      </c>
      <c r="I5">
        <v>1</v>
      </c>
      <c r="J5" s="4">
        <f t="shared" si="2"/>
        <v>0.375</v>
      </c>
      <c r="K5">
        <v>380</v>
      </c>
      <c r="L5">
        <v>1</v>
      </c>
      <c r="M5" s="4">
        <f t="shared" si="3"/>
        <v>380</v>
      </c>
      <c r="N5">
        <v>1.1200000000000001</v>
      </c>
      <c r="O5">
        <v>1</v>
      </c>
      <c r="P5" s="4">
        <f t="shared" si="4"/>
        <v>1.1200000000000001</v>
      </c>
      <c r="Q5">
        <v>9</v>
      </c>
      <c r="R5">
        <v>1</v>
      </c>
      <c r="S5" s="4">
        <f t="shared" si="5"/>
        <v>9</v>
      </c>
      <c r="T5">
        <v>9.25</v>
      </c>
      <c r="U5">
        <v>1</v>
      </c>
      <c r="V5" s="4">
        <f t="shared" si="6"/>
        <v>9.25</v>
      </c>
      <c r="W5">
        <v>9.25</v>
      </c>
      <c r="X5">
        <v>1</v>
      </c>
      <c r="Y5" s="4">
        <f t="shared" si="7"/>
        <v>9.25</v>
      </c>
      <c r="Z5" s="5">
        <f t="shared" si="8"/>
        <v>9.1666666666666661</v>
      </c>
    </row>
    <row r="6" spans="1:26">
      <c r="A6" s="3">
        <v>4</v>
      </c>
      <c r="B6">
        <v>0.11</v>
      </c>
      <c r="C6">
        <v>1</v>
      </c>
      <c r="D6" s="4">
        <f t="shared" si="0"/>
        <v>0.11</v>
      </c>
      <c r="E6">
        <v>150</v>
      </c>
      <c r="F6">
        <v>1</v>
      </c>
      <c r="G6" s="4">
        <f t="shared" si="1"/>
        <v>150</v>
      </c>
      <c r="H6">
        <v>0.33</v>
      </c>
      <c r="I6">
        <v>1</v>
      </c>
      <c r="J6" s="4">
        <f t="shared" si="2"/>
        <v>0.33</v>
      </c>
      <c r="K6">
        <v>360</v>
      </c>
      <c r="L6">
        <v>1</v>
      </c>
      <c r="M6" s="4">
        <f t="shared" si="3"/>
        <v>360</v>
      </c>
      <c r="N6">
        <v>1.35</v>
      </c>
      <c r="O6">
        <v>1</v>
      </c>
      <c r="P6" s="4">
        <f t="shared" si="4"/>
        <v>1.35</v>
      </c>
      <c r="Q6">
        <v>11</v>
      </c>
      <c r="R6">
        <v>1</v>
      </c>
      <c r="S6" s="4">
        <f t="shared" si="5"/>
        <v>11</v>
      </c>
      <c r="T6">
        <v>11</v>
      </c>
      <c r="U6">
        <v>1</v>
      </c>
      <c r="V6" s="4">
        <f t="shared" si="6"/>
        <v>11</v>
      </c>
      <c r="W6">
        <v>11.25</v>
      </c>
      <c r="X6">
        <v>1</v>
      </c>
      <c r="Y6" s="4">
        <f t="shared" si="7"/>
        <v>11.25</v>
      </c>
      <c r="Z6" s="5">
        <f t="shared" si="8"/>
        <v>11.083333333333334</v>
      </c>
    </row>
    <row r="7" spans="1:26">
      <c r="A7" s="3">
        <v>5</v>
      </c>
      <c r="B7">
        <v>0.15</v>
      </c>
      <c r="C7">
        <v>1</v>
      </c>
      <c r="D7" s="4">
        <f t="shared" si="0"/>
        <v>0.15</v>
      </c>
      <c r="E7">
        <v>200</v>
      </c>
      <c r="F7">
        <v>1</v>
      </c>
      <c r="G7" s="4">
        <f t="shared" si="1"/>
        <v>200</v>
      </c>
      <c r="H7">
        <v>0.29499999999999998</v>
      </c>
      <c r="I7">
        <v>1</v>
      </c>
      <c r="J7" s="4">
        <f t="shared" si="2"/>
        <v>0.29499999999999998</v>
      </c>
      <c r="K7">
        <v>340</v>
      </c>
      <c r="L7">
        <v>1</v>
      </c>
      <c r="M7" s="4">
        <f t="shared" si="3"/>
        <v>340</v>
      </c>
      <c r="N7">
        <v>1.6</v>
      </c>
      <c r="O7">
        <v>1</v>
      </c>
      <c r="P7" s="4">
        <f t="shared" si="4"/>
        <v>1.6</v>
      </c>
      <c r="Q7">
        <v>13</v>
      </c>
      <c r="R7">
        <v>1</v>
      </c>
      <c r="S7" s="4">
        <f t="shared" si="5"/>
        <v>13</v>
      </c>
      <c r="T7">
        <v>13</v>
      </c>
      <c r="U7">
        <v>1</v>
      </c>
      <c r="V7" s="4">
        <f t="shared" si="6"/>
        <v>13</v>
      </c>
      <c r="W7">
        <v>13.25</v>
      </c>
      <c r="X7">
        <v>1</v>
      </c>
      <c r="Y7" s="4">
        <f t="shared" si="7"/>
        <v>13.25</v>
      </c>
      <c r="Z7" s="5">
        <f t="shared" si="8"/>
        <v>13.083333333333334</v>
      </c>
    </row>
    <row r="8" spans="1:26">
      <c r="A8" s="3">
        <v>6</v>
      </c>
      <c r="B8">
        <v>0.19500000000000001</v>
      </c>
      <c r="C8">
        <v>1</v>
      </c>
      <c r="D8" s="4">
        <f t="shared" si="0"/>
        <v>0.19500000000000001</v>
      </c>
      <c r="E8">
        <v>250</v>
      </c>
      <c r="F8">
        <v>1</v>
      </c>
      <c r="G8" s="4">
        <f t="shared" si="1"/>
        <v>250</v>
      </c>
      <c r="H8">
        <v>0.26500000000000001</v>
      </c>
      <c r="I8">
        <v>1</v>
      </c>
      <c r="J8" s="4">
        <f t="shared" si="2"/>
        <v>0.26500000000000001</v>
      </c>
      <c r="K8">
        <v>320</v>
      </c>
      <c r="L8">
        <v>1</v>
      </c>
      <c r="M8" s="4">
        <f t="shared" si="3"/>
        <v>320</v>
      </c>
      <c r="N8">
        <v>1.85</v>
      </c>
      <c r="O8">
        <v>1</v>
      </c>
      <c r="P8" s="4">
        <f t="shared" si="4"/>
        <v>1.85</v>
      </c>
      <c r="Q8">
        <v>15</v>
      </c>
      <c r="R8">
        <v>1</v>
      </c>
      <c r="S8" s="4">
        <f t="shared" si="5"/>
        <v>15</v>
      </c>
      <c r="T8">
        <v>14</v>
      </c>
      <c r="U8">
        <v>1</v>
      </c>
      <c r="V8" s="4">
        <f t="shared" si="6"/>
        <v>14</v>
      </c>
      <c r="W8">
        <v>15</v>
      </c>
      <c r="X8">
        <v>1</v>
      </c>
      <c r="Y8" s="4">
        <f t="shared" si="7"/>
        <v>15</v>
      </c>
      <c r="Z8" s="5">
        <f t="shared" si="8"/>
        <v>14.666666666666666</v>
      </c>
    </row>
    <row r="9" spans="1:26">
      <c r="A9" s="3">
        <v>7</v>
      </c>
      <c r="B9">
        <v>0.26</v>
      </c>
      <c r="C9">
        <v>1</v>
      </c>
      <c r="D9" s="4">
        <f t="shared" si="0"/>
        <v>0.26</v>
      </c>
      <c r="E9">
        <v>300</v>
      </c>
      <c r="F9">
        <v>1</v>
      </c>
      <c r="G9" s="4">
        <f t="shared" si="1"/>
        <v>300</v>
      </c>
      <c r="H9">
        <v>0.24</v>
      </c>
      <c r="I9">
        <v>1</v>
      </c>
      <c r="J9" s="4">
        <f t="shared" si="2"/>
        <v>0.24</v>
      </c>
      <c r="K9">
        <v>300</v>
      </c>
      <c r="L9">
        <v>1</v>
      </c>
      <c r="M9" s="4">
        <f t="shared" si="3"/>
        <v>300</v>
      </c>
    </row>
    <row r="10" spans="1:26">
      <c r="A10" s="3">
        <v>8</v>
      </c>
      <c r="B10">
        <v>0.28000000000000003</v>
      </c>
      <c r="C10">
        <v>1</v>
      </c>
      <c r="D10" s="4">
        <f t="shared" si="0"/>
        <v>0.28000000000000003</v>
      </c>
      <c r="E10">
        <v>320</v>
      </c>
      <c r="F10">
        <v>1</v>
      </c>
      <c r="G10" s="4">
        <f t="shared" si="1"/>
        <v>320</v>
      </c>
      <c r="H10">
        <v>0.185</v>
      </c>
      <c r="I10">
        <v>1</v>
      </c>
      <c r="J10" s="4">
        <f t="shared" si="2"/>
        <v>0.185</v>
      </c>
      <c r="K10">
        <v>250</v>
      </c>
      <c r="L10">
        <v>1</v>
      </c>
      <c r="M10" s="4">
        <f t="shared" si="3"/>
        <v>250</v>
      </c>
    </row>
    <row r="11" spans="1:26">
      <c r="A11" s="3">
        <v>9</v>
      </c>
      <c r="B11">
        <v>0.315</v>
      </c>
      <c r="C11">
        <v>1</v>
      </c>
      <c r="D11" s="4">
        <f t="shared" si="0"/>
        <v>0.315</v>
      </c>
      <c r="E11">
        <v>340</v>
      </c>
      <c r="F11">
        <v>1</v>
      </c>
      <c r="G11" s="4">
        <f t="shared" si="1"/>
        <v>340</v>
      </c>
      <c r="H11">
        <v>0.14000000000000001</v>
      </c>
      <c r="I11">
        <v>1</v>
      </c>
      <c r="J11" s="4">
        <f t="shared" si="2"/>
        <v>0.14000000000000001</v>
      </c>
      <c r="K11">
        <v>200</v>
      </c>
      <c r="L11">
        <v>1</v>
      </c>
      <c r="M11" s="4">
        <f t="shared" si="3"/>
        <v>200</v>
      </c>
    </row>
    <row r="12" spans="1:26">
      <c r="A12" s="3">
        <v>10</v>
      </c>
      <c r="B12">
        <v>0.35</v>
      </c>
      <c r="C12">
        <v>1</v>
      </c>
      <c r="D12" s="4">
        <f t="shared" si="0"/>
        <v>0.35</v>
      </c>
      <c r="E12">
        <v>360</v>
      </c>
      <c r="F12">
        <v>1</v>
      </c>
      <c r="G12" s="4">
        <f t="shared" si="1"/>
        <v>360</v>
      </c>
      <c r="H12">
        <v>0.105</v>
      </c>
      <c r="I12">
        <v>1</v>
      </c>
      <c r="J12" s="4">
        <f t="shared" si="2"/>
        <v>0.105</v>
      </c>
      <c r="K12">
        <v>144</v>
      </c>
      <c r="L12">
        <v>1</v>
      </c>
      <c r="M12" s="4">
        <f t="shared" si="3"/>
        <v>144</v>
      </c>
    </row>
    <row r="13" spans="1:26">
      <c r="A13" s="3">
        <v>11</v>
      </c>
      <c r="B13">
        <v>0.39500000000000002</v>
      </c>
      <c r="C13">
        <v>1</v>
      </c>
      <c r="D13" s="4">
        <f t="shared" si="0"/>
        <v>0.39500000000000002</v>
      </c>
      <c r="E13">
        <v>380</v>
      </c>
      <c r="F13">
        <v>1</v>
      </c>
      <c r="G13" s="4">
        <f t="shared" si="1"/>
        <v>380</v>
      </c>
      <c r="H13">
        <v>8.5000000000000006E-2</v>
      </c>
      <c r="I13">
        <v>1</v>
      </c>
      <c r="J13" s="4">
        <f t="shared" si="2"/>
        <v>8.5000000000000006E-2</v>
      </c>
      <c r="K13">
        <v>120</v>
      </c>
      <c r="L13">
        <v>1</v>
      </c>
      <c r="M13" s="4">
        <f t="shared" si="3"/>
        <v>120</v>
      </c>
    </row>
    <row r="14" spans="1:26">
      <c r="A14" s="3">
        <v>12</v>
      </c>
      <c r="B14">
        <v>0.47</v>
      </c>
      <c r="C14">
        <v>1</v>
      </c>
      <c r="D14" s="4">
        <f t="shared" si="0"/>
        <v>0.47</v>
      </c>
      <c r="E14">
        <v>400</v>
      </c>
      <c r="F14">
        <v>1</v>
      </c>
      <c r="G14" s="4">
        <f t="shared" si="1"/>
        <v>400</v>
      </c>
      <c r="H14">
        <v>6.5000000000000002E-2</v>
      </c>
      <c r="I14">
        <v>1</v>
      </c>
      <c r="J14" s="4">
        <f t="shared" si="2"/>
        <v>6.5000000000000002E-2</v>
      </c>
      <c r="K14">
        <v>89</v>
      </c>
      <c r="L14">
        <v>1</v>
      </c>
      <c r="M14" s="4">
        <f t="shared" si="3"/>
        <v>89</v>
      </c>
    </row>
    <row r="15" spans="1:26">
      <c r="A15" s="3">
        <v>13</v>
      </c>
      <c r="B15">
        <v>0.56000000000000005</v>
      </c>
      <c r="C15">
        <v>1</v>
      </c>
      <c r="D15" s="4">
        <f t="shared" si="0"/>
        <v>0.56000000000000005</v>
      </c>
      <c r="E15">
        <v>420</v>
      </c>
      <c r="F15">
        <v>1</v>
      </c>
      <c r="G15" s="4">
        <f t="shared" si="1"/>
        <v>420</v>
      </c>
      <c r="H15">
        <v>0.05</v>
      </c>
      <c r="I15">
        <v>1</v>
      </c>
      <c r="J15" s="4">
        <f t="shared" si="2"/>
        <v>0.05</v>
      </c>
      <c r="K15">
        <v>64</v>
      </c>
      <c r="L15">
        <v>1</v>
      </c>
      <c r="M15" s="4">
        <f t="shared" si="3"/>
        <v>64</v>
      </c>
    </row>
    <row r="20" spans="4:7">
      <c r="D20" s="5"/>
      <c r="G20" s="4"/>
    </row>
  </sheetData>
  <mergeCells count="9">
    <mergeCell ref="Q1:S1"/>
    <mergeCell ref="T1:V1"/>
    <mergeCell ref="W1:Y1"/>
    <mergeCell ref="A1:A2"/>
    <mergeCell ref="B1:D1"/>
    <mergeCell ref="E1:G1"/>
    <mergeCell ref="H1:J1"/>
    <mergeCell ref="K1:M1"/>
    <mergeCell ref="N1:P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2020-06-07T21:04:23Z</dcterms:modified>
</cp:coreProperties>
</file>