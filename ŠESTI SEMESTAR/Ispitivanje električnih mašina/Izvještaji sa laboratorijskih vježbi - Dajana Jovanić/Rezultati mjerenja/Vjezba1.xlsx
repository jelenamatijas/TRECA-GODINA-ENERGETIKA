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activeTab="3"/>
  </bookViews>
  <sheets>
    <sheet name="ReultatiMjerenja" sheetId="2" r:id="rId1"/>
    <sheet name="deltau=f(cosfi)" sheetId="1" r:id="rId2"/>
    <sheet name="U2=f(cosfi)" sheetId="3" r:id="rId3"/>
    <sheet name="PorastTemperature" sheetId="4" r:id="rId4"/>
  </sheets>
  <definedNames>
    <definedName name="solver_adj" localSheetId="1" hidden="1">'deltau=f(cosfi)'!$E$2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'deltau=f(cosfi)'!$I$2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25725"/>
</workbook>
</file>

<file path=xl/calcChain.xml><?xml version="1.0" encoding="utf-8"?>
<calcChain xmlns="http://schemas.openxmlformats.org/spreadsheetml/2006/main">
  <c r="B22" i="2"/>
  <c r="B21"/>
  <c r="G30" i="4"/>
  <c r="D30"/>
  <c r="H30" s="1"/>
  <c r="I30" s="1"/>
  <c r="G29"/>
  <c r="D29"/>
  <c r="H29" s="1"/>
  <c r="I29" s="1"/>
  <c r="G28"/>
  <c r="D28"/>
  <c r="H28" s="1"/>
  <c r="I28" s="1"/>
  <c r="G27"/>
  <c r="D27"/>
  <c r="H27" s="1"/>
  <c r="I27" s="1"/>
  <c r="G26"/>
  <c r="D26"/>
  <c r="H26" s="1"/>
  <c r="I26" s="1"/>
  <c r="G25"/>
  <c r="D25"/>
  <c r="H25" s="1"/>
  <c r="I25" s="1"/>
  <c r="G24"/>
  <c r="D24"/>
  <c r="H24" s="1"/>
  <c r="I24" s="1"/>
  <c r="G23"/>
  <c r="D23"/>
  <c r="H23" s="1"/>
  <c r="I23" s="1"/>
  <c r="G22"/>
  <c r="D22"/>
  <c r="H22" s="1"/>
  <c r="I22" s="1"/>
  <c r="G21"/>
  <c r="D21"/>
  <c r="H21" s="1"/>
  <c r="I21" s="1"/>
  <c r="P4" i="2"/>
  <c r="P5"/>
  <c r="P6"/>
  <c r="P7"/>
  <c r="P8"/>
  <c r="P9"/>
  <c r="P10"/>
  <c r="P11"/>
  <c r="P12"/>
  <c r="P3"/>
  <c r="M4"/>
  <c r="M5"/>
  <c r="M6"/>
  <c r="M7"/>
  <c r="M8"/>
  <c r="M9"/>
  <c r="M10"/>
  <c r="M11"/>
  <c r="M12"/>
  <c r="M3"/>
  <c r="J4"/>
  <c r="J5"/>
  <c r="J6"/>
  <c r="J7"/>
  <c r="J8"/>
  <c r="J9"/>
  <c r="J10"/>
  <c r="J11"/>
  <c r="J12"/>
  <c r="J3"/>
  <c r="B23"/>
  <c r="B14" i="1"/>
  <c r="B13"/>
  <c r="B12"/>
  <c r="B20" i="2"/>
  <c r="B19"/>
  <c r="B11" i="1"/>
  <c r="H8" i="4"/>
  <c r="H9"/>
  <c r="H10"/>
  <c r="H11"/>
  <c r="H12"/>
  <c r="H13"/>
  <c r="H14"/>
  <c r="H15"/>
  <c r="H16"/>
  <c r="H7"/>
  <c r="G8"/>
  <c r="G9"/>
  <c r="G10"/>
  <c r="G11"/>
  <c r="G12"/>
  <c r="G13"/>
  <c r="G14"/>
  <c r="G15"/>
  <c r="G16"/>
  <c r="G7"/>
  <c r="F16"/>
  <c r="C16"/>
  <c r="F15"/>
  <c r="C15"/>
  <c r="F14"/>
  <c r="C14"/>
  <c r="F13"/>
  <c r="C13"/>
  <c r="F12"/>
  <c r="C12"/>
  <c r="F11"/>
  <c r="C11"/>
  <c r="F10"/>
  <c r="C10"/>
  <c r="F9"/>
  <c r="C9"/>
  <c r="F8"/>
  <c r="C8"/>
  <c r="F7"/>
  <c r="C7"/>
  <c r="B18" i="3"/>
  <c r="B17"/>
  <c r="B16"/>
  <c r="B13"/>
  <c r="B12"/>
  <c r="B8"/>
  <c r="B7"/>
  <c r="B6"/>
  <c r="F104" i="1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103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2"/>
  <c r="B9"/>
  <c r="H4" s="1"/>
  <c r="Y3" i="2"/>
  <c r="V3"/>
  <c r="S3"/>
  <c r="G4"/>
  <c r="G5"/>
  <c r="G6"/>
  <c r="G7"/>
  <c r="G8"/>
  <c r="G9"/>
  <c r="G10"/>
  <c r="G11"/>
  <c r="G12"/>
  <c r="G3"/>
  <c r="D4"/>
  <c r="D5"/>
  <c r="D6"/>
  <c r="D7"/>
  <c r="D8"/>
  <c r="D9"/>
  <c r="D10"/>
  <c r="D11"/>
  <c r="D12"/>
  <c r="D3"/>
  <c r="B5" i="1"/>
  <c r="F4" i="3" l="1"/>
  <c r="I4" s="1"/>
  <c r="G3"/>
  <c r="J3" s="1"/>
  <c r="G192" i="1"/>
  <c r="G160"/>
  <c r="G128"/>
  <c r="G96"/>
  <c r="G64"/>
  <c r="G32"/>
  <c r="H201"/>
  <c r="H169"/>
  <c r="H137"/>
  <c r="H105"/>
  <c r="H73"/>
  <c r="H57"/>
  <c r="H41"/>
  <c r="H9"/>
  <c r="G180"/>
  <c r="G148"/>
  <c r="G116"/>
  <c r="G84"/>
  <c r="G52"/>
  <c r="G20"/>
  <c r="H189"/>
  <c r="H157"/>
  <c r="H125"/>
  <c r="H93"/>
  <c r="H77"/>
  <c r="H61"/>
  <c r="H45"/>
  <c r="H13"/>
  <c r="G200"/>
  <c r="G184"/>
  <c r="I184" s="1"/>
  <c r="G168"/>
  <c r="G152"/>
  <c r="G136"/>
  <c r="G120"/>
  <c r="G104"/>
  <c r="G88"/>
  <c r="G72"/>
  <c r="G56"/>
  <c r="I56" s="1"/>
  <c r="G40"/>
  <c r="I40" s="1"/>
  <c r="G24"/>
  <c r="G8"/>
  <c r="H193"/>
  <c r="H177"/>
  <c r="H161"/>
  <c r="H145"/>
  <c r="H129"/>
  <c r="H113"/>
  <c r="H97"/>
  <c r="H81"/>
  <c r="H65"/>
  <c r="H49"/>
  <c r="H33"/>
  <c r="H17"/>
  <c r="G176"/>
  <c r="G144"/>
  <c r="G112"/>
  <c r="G80"/>
  <c r="G48"/>
  <c r="G16"/>
  <c r="H185"/>
  <c r="H153"/>
  <c r="H121"/>
  <c r="H89"/>
  <c r="H25"/>
  <c r="G3"/>
  <c r="G196"/>
  <c r="G164"/>
  <c r="G132"/>
  <c r="G100"/>
  <c r="G68"/>
  <c r="G36"/>
  <c r="G4"/>
  <c r="H173"/>
  <c r="H141"/>
  <c r="H109"/>
  <c r="H29"/>
  <c r="G188"/>
  <c r="G172"/>
  <c r="G156"/>
  <c r="G140"/>
  <c r="G124"/>
  <c r="G108"/>
  <c r="G92"/>
  <c r="G76"/>
  <c r="G60"/>
  <c r="G44"/>
  <c r="G28"/>
  <c r="G12"/>
  <c r="H197"/>
  <c r="H181"/>
  <c r="H165"/>
  <c r="H149"/>
  <c r="H133"/>
  <c r="H117"/>
  <c r="H101"/>
  <c r="H85"/>
  <c r="H69"/>
  <c r="H53"/>
  <c r="H37"/>
  <c r="H21"/>
  <c r="H5"/>
  <c r="E3" i="3"/>
  <c r="H3" s="1"/>
  <c r="E7"/>
  <c r="H7" s="1"/>
  <c r="E11"/>
  <c r="H11" s="1"/>
  <c r="E15"/>
  <c r="H15" s="1"/>
  <c r="E19"/>
  <c r="H19" s="1"/>
  <c r="E23"/>
  <c r="H23" s="1"/>
  <c r="E27"/>
  <c r="H27" s="1"/>
  <c r="E31"/>
  <c r="H31" s="1"/>
  <c r="E35"/>
  <c r="H35" s="1"/>
  <c r="E39"/>
  <c r="H39" s="1"/>
  <c r="E43"/>
  <c r="H43" s="1"/>
  <c r="E47"/>
  <c r="H47" s="1"/>
  <c r="E51"/>
  <c r="H51" s="1"/>
  <c r="E55"/>
  <c r="H55" s="1"/>
  <c r="E59"/>
  <c r="H59" s="1"/>
  <c r="E63"/>
  <c r="H63" s="1"/>
  <c r="E67"/>
  <c r="H67" s="1"/>
  <c r="E71"/>
  <c r="H71" s="1"/>
  <c r="E75"/>
  <c r="H75" s="1"/>
  <c r="E79"/>
  <c r="H79" s="1"/>
  <c r="E83"/>
  <c r="H83" s="1"/>
  <c r="E87"/>
  <c r="H87" s="1"/>
  <c r="E91"/>
  <c r="H91" s="1"/>
  <c r="E95"/>
  <c r="H95" s="1"/>
  <c r="E99"/>
  <c r="H99" s="1"/>
  <c r="E13"/>
  <c r="H13" s="1"/>
  <c r="E21"/>
  <c r="H21" s="1"/>
  <c r="E29"/>
  <c r="H29" s="1"/>
  <c r="E37"/>
  <c r="H37" s="1"/>
  <c r="E45"/>
  <c r="H45" s="1"/>
  <c r="E53"/>
  <c r="H53" s="1"/>
  <c r="E61"/>
  <c r="H61" s="1"/>
  <c r="E69"/>
  <c r="H69" s="1"/>
  <c r="E77"/>
  <c r="H77" s="1"/>
  <c r="E85"/>
  <c r="H85" s="1"/>
  <c r="E93"/>
  <c r="H93" s="1"/>
  <c r="E101"/>
  <c r="H101" s="1"/>
  <c r="E102"/>
  <c r="H102" s="1"/>
  <c r="E6"/>
  <c r="H6" s="1"/>
  <c r="E10"/>
  <c r="H10" s="1"/>
  <c r="E14"/>
  <c r="H14" s="1"/>
  <c r="E18"/>
  <c r="H18" s="1"/>
  <c r="E22"/>
  <c r="H22" s="1"/>
  <c r="E26"/>
  <c r="H26" s="1"/>
  <c r="E30"/>
  <c r="H30" s="1"/>
  <c r="E34"/>
  <c r="H34" s="1"/>
  <c r="E38"/>
  <c r="H38" s="1"/>
  <c r="E42"/>
  <c r="H42" s="1"/>
  <c r="E46"/>
  <c r="H46" s="1"/>
  <c r="E50"/>
  <c r="H50" s="1"/>
  <c r="E54"/>
  <c r="H54" s="1"/>
  <c r="E58"/>
  <c r="H58" s="1"/>
  <c r="E62"/>
  <c r="H62" s="1"/>
  <c r="E66"/>
  <c r="H66" s="1"/>
  <c r="E70"/>
  <c r="H70" s="1"/>
  <c r="E74"/>
  <c r="H74" s="1"/>
  <c r="E78"/>
  <c r="H78" s="1"/>
  <c r="E82"/>
  <c r="H82" s="1"/>
  <c r="E86"/>
  <c r="H86" s="1"/>
  <c r="E90"/>
  <c r="H90" s="1"/>
  <c r="E94"/>
  <c r="H94" s="1"/>
  <c r="E98"/>
  <c r="H98" s="1"/>
  <c r="E2"/>
  <c r="H2" s="1"/>
  <c r="E5"/>
  <c r="H5" s="1"/>
  <c r="E9"/>
  <c r="H9" s="1"/>
  <c r="E17"/>
  <c r="H17" s="1"/>
  <c r="E25"/>
  <c r="H25" s="1"/>
  <c r="E33"/>
  <c r="H33" s="1"/>
  <c r="E41"/>
  <c r="H41" s="1"/>
  <c r="E49"/>
  <c r="H49" s="1"/>
  <c r="E57"/>
  <c r="H57" s="1"/>
  <c r="E65"/>
  <c r="H65" s="1"/>
  <c r="E73"/>
  <c r="H73" s="1"/>
  <c r="E81"/>
  <c r="H81" s="1"/>
  <c r="E89"/>
  <c r="H89" s="1"/>
  <c r="E97"/>
  <c r="H97" s="1"/>
  <c r="E76"/>
  <c r="H76" s="1"/>
  <c r="F72"/>
  <c r="I72" s="1"/>
  <c r="F56"/>
  <c r="I56" s="1"/>
  <c r="F40"/>
  <c r="I40" s="1"/>
  <c r="F24"/>
  <c r="I24" s="1"/>
  <c r="F8"/>
  <c r="I8" s="1"/>
  <c r="G87"/>
  <c r="J87" s="1"/>
  <c r="G55"/>
  <c r="J55" s="1"/>
  <c r="G39"/>
  <c r="J39" s="1"/>
  <c r="G7"/>
  <c r="J7" s="1"/>
  <c r="E96"/>
  <c r="H96" s="1"/>
  <c r="E64"/>
  <c r="H64" s="1"/>
  <c r="F3"/>
  <c r="I3" s="1"/>
  <c r="G6"/>
  <c r="J6" s="1"/>
  <c r="G91"/>
  <c r="J91" s="1"/>
  <c r="G75"/>
  <c r="J75" s="1"/>
  <c r="G59"/>
  <c r="J59" s="1"/>
  <c r="G27"/>
  <c r="J27" s="1"/>
  <c r="G11"/>
  <c r="J11" s="1"/>
  <c r="E100"/>
  <c r="H100" s="1"/>
  <c r="E84"/>
  <c r="H84" s="1"/>
  <c r="E68"/>
  <c r="H68" s="1"/>
  <c r="E52"/>
  <c r="H52" s="1"/>
  <c r="E36"/>
  <c r="H36" s="1"/>
  <c r="E20"/>
  <c r="H20" s="1"/>
  <c r="E4"/>
  <c r="H4" s="1"/>
  <c r="F96"/>
  <c r="I96" s="1"/>
  <c r="F80"/>
  <c r="I80" s="1"/>
  <c r="F64"/>
  <c r="I64" s="1"/>
  <c r="F48"/>
  <c r="I48" s="1"/>
  <c r="F32"/>
  <c r="I32" s="1"/>
  <c r="F16"/>
  <c r="I16" s="1"/>
  <c r="G95"/>
  <c r="J95" s="1"/>
  <c r="G79"/>
  <c r="J79" s="1"/>
  <c r="G63"/>
  <c r="J63" s="1"/>
  <c r="G47"/>
  <c r="J47" s="1"/>
  <c r="G31"/>
  <c r="J31" s="1"/>
  <c r="G15"/>
  <c r="J15" s="1"/>
  <c r="E92"/>
  <c r="H92" s="1"/>
  <c r="E60"/>
  <c r="H60" s="1"/>
  <c r="E44"/>
  <c r="H44" s="1"/>
  <c r="E28"/>
  <c r="H28" s="1"/>
  <c r="E12"/>
  <c r="H12" s="1"/>
  <c r="F88"/>
  <c r="I88" s="1"/>
  <c r="G71"/>
  <c r="J71" s="1"/>
  <c r="G23"/>
  <c r="J23" s="1"/>
  <c r="E80"/>
  <c r="H80" s="1"/>
  <c r="E48"/>
  <c r="H48" s="1"/>
  <c r="E32"/>
  <c r="H32" s="1"/>
  <c r="E16"/>
  <c r="H16" s="1"/>
  <c r="F92"/>
  <c r="I92" s="1"/>
  <c r="F76"/>
  <c r="I76" s="1"/>
  <c r="F60"/>
  <c r="I60" s="1"/>
  <c r="F44"/>
  <c r="I44" s="1"/>
  <c r="F28"/>
  <c r="I28" s="1"/>
  <c r="F12"/>
  <c r="I12" s="1"/>
  <c r="G43"/>
  <c r="J43" s="1"/>
  <c r="E88"/>
  <c r="H88" s="1"/>
  <c r="E72"/>
  <c r="H72" s="1"/>
  <c r="E56"/>
  <c r="H56" s="1"/>
  <c r="E40"/>
  <c r="H40" s="1"/>
  <c r="E24"/>
  <c r="H24" s="1"/>
  <c r="E8"/>
  <c r="H8" s="1"/>
  <c r="F100"/>
  <c r="I100" s="1"/>
  <c r="F84"/>
  <c r="I84" s="1"/>
  <c r="F68"/>
  <c r="I68" s="1"/>
  <c r="F52"/>
  <c r="I52" s="1"/>
  <c r="F36"/>
  <c r="I36" s="1"/>
  <c r="F20"/>
  <c r="I20" s="1"/>
  <c r="G99"/>
  <c r="J99" s="1"/>
  <c r="G83"/>
  <c r="J83" s="1"/>
  <c r="G67"/>
  <c r="J67" s="1"/>
  <c r="G51"/>
  <c r="J51" s="1"/>
  <c r="G35"/>
  <c r="J35" s="1"/>
  <c r="G19"/>
  <c r="J19" s="1"/>
  <c r="F101"/>
  <c r="I101" s="1"/>
  <c r="F93"/>
  <c r="I93" s="1"/>
  <c r="F81"/>
  <c r="I81" s="1"/>
  <c r="F73"/>
  <c r="I73" s="1"/>
  <c r="F65"/>
  <c r="I65" s="1"/>
  <c r="F57"/>
  <c r="I57" s="1"/>
  <c r="F49"/>
  <c r="I49" s="1"/>
  <c r="F33"/>
  <c r="I33" s="1"/>
  <c r="G96"/>
  <c r="J96" s="1"/>
  <c r="G88"/>
  <c r="J88" s="1"/>
  <c r="G80"/>
  <c r="J80" s="1"/>
  <c r="G68"/>
  <c r="J68" s="1"/>
  <c r="G60"/>
  <c r="J60" s="1"/>
  <c r="G52"/>
  <c r="J52" s="1"/>
  <c r="G44"/>
  <c r="J44" s="1"/>
  <c r="G36"/>
  <c r="J36" s="1"/>
  <c r="G28"/>
  <c r="J28" s="1"/>
  <c r="G20"/>
  <c r="J20" s="1"/>
  <c r="G12"/>
  <c r="J12" s="1"/>
  <c r="G4"/>
  <c r="J4" s="1"/>
  <c r="G102"/>
  <c r="J102" s="1"/>
  <c r="F102"/>
  <c r="I102" s="1"/>
  <c r="F98"/>
  <c r="I98" s="1"/>
  <c r="F94"/>
  <c r="I94" s="1"/>
  <c r="F90"/>
  <c r="I90" s="1"/>
  <c r="F86"/>
  <c r="I86" s="1"/>
  <c r="F82"/>
  <c r="I82" s="1"/>
  <c r="F78"/>
  <c r="I78" s="1"/>
  <c r="F74"/>
  <c r="I74" s="1"/>
  <c r="F70"/>
  <c r="I70" s="1"/>
  <c r="F66"/>
  <c r="I66" s="1"/>
  <c r="F62"/>
  <c r="I62" s="1"/>
  <c r="F58"/>
  <c r="I58" s="1"/>
  <c r="F54"/>
  <c r="I54" s="1"/>
  <c r="F50"/>
  <c r="I50" s="1"/>
  <c r="F46"/>
  <c r="I46" s="1"/>
  <c r="F42"/>
  <c r="I42" s="1"/>
  <c r="F38"/>
  <c r="I38" s="1"/>
  <c r="F34"/>
  <c r="I34" s="1"/>
  <c r="F30"/>
  <c r="I30" s="1"/>
  <c r="F26"/>
  <c r="I26" s="1"/>
  <c r="F22"/>
  <c r="I22" s="1"/>
  <c r="F18"/>
  <c r="I18" s="1"/>
  <c r="F14"/>
  <c r="I14" s="1"/>
  <c r="F10"/>
  <c r="I10" s="1"/>
  <c r="F6"/>
  <c r="I6" s="1"/>
  <c r="G101"/>
  <c r="J101" s="1"/>
  <c r="G97"/>
  <c r="J97" s="1"/>
  <c r="G93"/>
  <c r="J93" s="1"/>
  <c r="G89"/>
  <c r="J89" s="1"/>
  <c r="G85"/>
  <c r="J85" s="1"/>
  <c r="G81"/>
  <c r="J81" s="1"/>
  <c r="G77"/>
  <c r="J77" s="1"/>
  <c r="G73"/>
  <c r="J73" s="1"/>
  <c r="G69"/>
  <c r="J69" s="1"/>
  <c r="G65"/>
  <c r="J65" s="1"/>
  <c r="G61"/>
  <c r="J61" s="1"/>
  <c r="G57"/>
  <c r="J57" s="1"/>
  <c r="G53"/>
  <c r="J53" s="1"/>
  <c r="G49"/>
  <c r="J49" s="1"/>
  <c r="G45"/>
  <c r="J45" s="1"/>
  <c r="G41"/>
  <c r="J41" s="1"/>
  <c r="G37"/>
  <c r="J37" s="1"/>
  <c r="G33"/>
  <c r="J33" s="1"/>
  <c r="G29"/>
  <c r="J29" s="1"/>
  <c r="G25"/>
  <c r="J25" s="1"/>
  <c r="G21"/>
  <c r="J21" s="1"/>
  <c r="G17"/>
  <c r="J17" s="1"/>
  <c r="G13"/>
  <c r="J13" s="1"/>
  <c r="G9"/>
  <c r="J9" s="1"/>
  <c r="G5"/>
  <c r="J5" s="1"/>
  <c r="F97"/>
  <c r="I97" s="1"/>
  <c r="F89"/>
  <c r="I89" s="1"/>
  <c r="F85"/>
  <c r="I85" s="1"/>
  <c r="F77"/>
  <c r="I77" s="1"/>
  <c r="F69"/>
  <c r="I69" s="1"/>
  <c r="F61"/>
  <c r="I61" s="1"/>
  <c r="F53"/>
  <c r="I53" s="1"/>
  <c r="F45"/>
  <c r="I45" s="1"/>
  <c r="F41"/>
  <c r="I41" s="1"/>
  <c r="F37"/>
  <c r="I37" s="1"/>
  <c r="F29"/>
  <c r="I29" s="1"/>
  <c r="F25"/>
  <c r="I25" s="1"/>
  <c r="F21"/>
  <c r="I21" s="1"/>
  <c r="F17"/>
  <c r="I17" s="1"/>
  <c r="F13"/>
  <c r="I13" s="1"/>
  <c r="F9"/>
  <c r="I9" s="1"/>
  <c r="F5"/>
  <c r="I5" s="1"/>
  <c r="G100"/>
  <c r="J100" s="1"/>
  <c r="G92"/>
  <c r="J92" s="1"/>
  <c r="G84"/>
  <c r="J84" s="1"/>
  <c r="G76"/>
  <c r="J76" s="1"/>
  <c r="G72"/>
  <c r="J72" s="1"/>
  <c r="G64"/>
  <c r="J64" s="1"/>
  <c r="G56"/>
  <c r="J56" s="1"/>
  <c r="G48"/>
  <c r="J48" s="1"/>
  <c r="G40"/>
  <c r="J40" s="1"/>
  <c r="G32"/>
  <c r="J32" s="1"/>
  <c r="G24"/>
  <c r="J24" s="1"/>
  <c r="G16"/>
  <c r="J16" s="1"/>
  <c r="G8"/>
  <c r="J8" s="1"/>
  <c r="F2"/>
  <c r="I2" s="1"/>
  <c r="F99"/>
  <c r="I99" s="1"/>
  <c r="F95"/>
  <c r="I95" s="1"/>
  <c r="F91"/>
  <c r="I91" s="1"/>
  <c r="F87"/>
  <c r="I87" s="1"/>
  <c r="F83"/>
  <c r="I83" s="1"/>
  <c r="F79"/>
  <c r="I79" s="1"/>
  <c r="F75"/>
  <c r="I75" s="1"/>
  <c r="F71"/>
  <c r="I71" s="1"/>
  <c r="F67"/>
  <c r="I67" s="1"/>
  <c r="F63"/>
  <c r="I63" s="1"/>
  <c r="F59"/>
  <c r="I59" s="1"/>
  <c r="F55"/>
  <c r="I55" s="1"/>
  <c r="F51"/>
  <c r="I51" s="1"/>
  <c r="F47"/>
  <c r="I47" s="1"/>
  <c r="F43"/>
  <c r="I43" s="1"/>
  <c r="F39"/>
  <c r="I39" s="1"/>
  <c r="F35"/>
  <c r="I35" s="1"/>
  <c r="F31"/>
  <c r="I31" s="1"/>
  <c r="F27"/>
  <c r="I27" s="1"/>
  <c r="F23"/>
  <c r="I23" s="1"/>
  <c r="F19"/>
  <c r="I19" s="1"/>
  <c r="F15"/>
  <c r="I15" s="1"/>
  <c r="F11"/>
  <c r="I11" s="1"/>
  <c r="F7"/>
  <c r="I7" s="1"/>
  <c r="G2"/>
  <c r="J2" s="1"/>
  <c r="G98"/>
  <c r="J98" s="1"/>
  <c r="G94"/>
  <c r="J94" s="1"/>
  <c r="G90"/>
  <c r="J90" s="1"/>
  <c r="G86"/>
  <c r="J86" s="1"/>
  <c r="G82"/>
  <c r="J82" s="1"/>
  <c r="G78"/>
  <c r="J78" s="1"/>
  <c r="G74"/>
  <c r="J74" s="1"/>
  <c r="G70"/>
  <c r="J70" s="1"/>
  <c r="G66"/>
  <c r="J66" s="1"/>
  <c r="G62"/>
  <c r="J62" s="1"/>
  <c r="G58"/>
  <c r="J58" s="1"/>
  <c r="G54"/>
  <c r="J54" s="1"/>
  <c r="G50"/>
  <c r="J50" s="1"/>
  <c r="G46"/>
  <c r="J46" s="1"/>
  <c r="G42"/>
  <c r="J42" s="1"/>
  <c r="G38"/>
  <c r="J38" s="1"/>
  <c r="G34"/>
  <c r="J34" s="1"/>
  <c r="G30"/>
  <c r="J30" s="1"/>
  <c r="G26"/>
  <c r="J26" s="1"/>
  <c r="G22"/>
  <c r="J22" s="1"/>
  <c r="G18"/>
  <c r="J18" s="1"/>
  <c r="G14"/>
  <c r="J14" s="1"/>
  <c r="G10"/>
  <c r="J10" s="1"/>
  <c r="I72" i="1"/>
  <c r="I88"/>
  <c r="I4"/>
  <c r="G201"/>
  <c r="G193"/>
  <c r="I193" s="1"/>
  <c r="G185"/>
  <c r="I185" s="1"/>
  <c r="G177"/>
  <c r="G169"/>
  <c r="I169" s="1"/>
  <c r="G161"/>
  <c r="I161" s="1"/>
  <c r="G153"/>
  <c r="G145"/>
  <c r="G137"/>
  <c r="I137" s="1"/>
  <c r="G129"/>
  <c r="I129" s="1"/>
  <c r="G121"/>
  <c r="G113"/>
  <c r="G105"/>
  <c r="G97"/>
  <c r="I97" s="1"/>
  <c r="G89"/>
  <c r="I89" s="1"/>
  <c r="G81"/>
  <c r="G73"/>
  <c r="G65"/>
  <c r="I65" s="1"/>
  <c r="G57"/>
  <c r="I57" s="1"/>
  <c r="G49"/>
  <c r="G41"/>
  <c r="I41" s="1"/>
  <c r="G33"/>
  <c r="I33" s="1"/>
  <c r="G25"/>
  <c r="I25" s="1"/>
  <c r="G17"/>
  <c r="G5"/>
  <c r="I5" s="1"/>
  <c r="H198"/>
  <c r="H190"/>
  <c r="H182"/>
  <c r="H174"/>
  <c r="H166"/>
  <c r="H158"/>
  <c r="H150"/>
  <c r="H142"/>
  <c r="H134"/>
  <c r="H126"/>
  <c r="H118"/>
  <c r="H110"/>
  <c r="H102"/>
  <c r="H94"/>
  <c r="H86"/>
  <c r="H78"/>
  <c r="H70"/>
  <c r="H62"/>
  <c r="H54"/>
  <c r="H46"/>
  <c r="H38"/>
  <c r="H30"/>
  <c r="H22"/>
  <c r="H14"/>
  <c r="H6"/>
  <c r="G202"/>
  <c r="G198"/>
  <c r="G194"/>
  <c r="G190"/>
  <c r="I190" s="1"/>
  <c r="G186"/>
  <c r="G182"/>
  <c r="I182" s="1"/>
  <c r="G178"/>
  <c r="G174"/>
  <c r="G170"/>
  <c r="G166"/>
  <c r="G162"/>
  <c r="G158"/>
  <c r="I158" s="1"/>
  <c r="G154"/>
  <c r="G150"/>
  <c r="I150" s="1"/>
  <c r="G146"/>
  <c r="G142"/>
  <c r="G138"/>
  <c r="G134"/>
  <c r="G130"/>
  <c r="G126"/>
  <c r="I126" s="1"/>
  <c r="G122"/>
  <c r="G118"/>
  <c r="I118" s="1"/>
  <c r="G114"/>
  <c r="G110"/>
  <c r="G106"/>
  <c r="G102"/>
  <c r="G98"/>
  <c r="G94"/>
  <c r="I94" s="1"/>
  <c r="G90"/>
  <c r="G86"/>
  <c r="I86" s="1"/>
  <c r="G82"/>
  <c r="G78"/>
  <c r="G74"/>
  <c r="G70"/>
  <c r="G66"/>
  <c r="G62"/>
  <c r="I62" s="1"/>
  <c r="G58"/>
  <c r="G54"/>
  <c r="I54" s="1"/>
  <c r="G50"/>
  <c r="G46"/>
  <c r="G42"/>
  <c r="G38"/>
  <c r="G34"/>
  <c r="G30"/>
  <c r="I30" s="1"/>
  <c r="G26"/>
  <c r="G22"/>
  <c r="I22" s="1"/>
  <c r="G18"/>
  <c r="G14"/>
  <c r="G10"/>
  <c r="G6"/>
  <c r="H2"/>
  <c r="H199"/>
  <c r="H195"/>
  <c r="H191"/>
  <c r="H187"/>
  <c r="H183"/>
  <c r="H179"/>
  <c r="H175"/>
  <c r="H171"/>
  <c r="H167"/>
  <c r="H163"/>
  <c r="H159"/>
  <c r="H155"/>
  <c r="H151"/>
  <c r="H147"/>
  <c r="H143"/>
  <c r="H139"/>
  <c r="H135"/>
  <c r="H131"/>
  <c r="H127"/>
  <c r="H123"/>
  <c r="H119"/>
  <c r="H115"/>
  <c r="H111"/>
  <c r="H107"/>
  <c r="H103"/>
  <c r="H99"/>
  <c r="H95"/>
  <c r="H91"/>
  <c r="H87"/>
  <c r="H83"/>
  <c r="H79"/>
  <c r="H75"/>
  <c r="H71"/>
  <c r="H67"/>
  <c r="H63"/>
  <c r="H59"/>
  <c r="H55"/>
  <c r="H51"/>
  <c r="H47"/>
  <c r="H43"/>
  <c r="H39"/>
  <c r="H35"/>
  <c r="H31"/>
  <c r="H27"/>
  <c r="H23"/>
  <c r="H19"/>
  <c r="H15"/>
  <c r="H11"/>
  <c r="H7"/>
  <c r="H3"/>
  <c r="G197"/>
  <c r="G189"/>
  <c r="I189" s="1"/>
  <c r="G181"/>
  <c r="I181" s="1"/>
  <c r="G173"/>
  <c r="G165"/>
  <c r="G157"/>
  <c r="G149"/>
  <c r="I149" s="1"/>
  <c r="G141"/>
  <c r="G133"/>
  <c r="G125"/>
  <c r="G117"/>
  <c r="I117" s="1"/>
  <c r="G109"/>
  <c r="I109" s="1"/>
  <c r="G101"/>
  <c r="G93"/>
  <c r="I93" s="1"/>
  <c r="G85"/>
  <c r="I85" s="1"/>
  <c r="G77"/>
  <c r="G69"/>
  <c r="G61"/>
  <c r="G53"/>
  <c r="I53" s="1"/>
  <c r="G45"/>
  <c r="I45" s="1"/>
  <c r="G37"/>
  <c r="G29"/>
  <c r="I29" s="1"/>
  <c r="G21"/>
  <c r="I21" s="1"/>
  <c r="G13"/>
  <c r="I13" s="1"/>
  <c r="G9"/>
  <c r="H202"/>
  <c r="H194"/>
  <c r="H186"/>
  <c r="H178"/>
  <c r="H170"/>
  <c r="H162"/>
  <c r="H154"/>
  <c r="H146"/>
  <c r="H138"/>
  <c r="H130"/>
  <c r="H122"/>
  <c r="H114"/>
  <c r="H106"/>
  <c r="H98"/>
  <c r="H90"/>
  <c r="H82"/>
  <c r="H74"/>
  <c r="H66"/>
  <c r="H58"/>
  <c r="H50"/>
  <c r="H42"/>
  <c r="H34"/>
  <c r="H26"/>
  <c r="H18"/>
  <c r="H10"/>
  <c r="G2"/>
  <c r="G199"/>
  <c r="G195"/>
  <c r="G191"/>
  <c r="I191" s="1"/>
  <c r="G187"/>
  <c r="G183"/>
  <c r="G179"/>
  <c r="G175"/>
  <c r="I175" s="1"/>
  <c r="G171"/>
  <c r="G167"/>
  <c r="G163"/>
  <c r="G159"/>
  <c r="I159" s="1"/>
  <c r="G155"/>
  <c r="G151"/>
  <c r="G147"/>
  <c r="G143"/>
  <c r="I143" s="1"/>
  <c r="G139"/>
  <c r="G135"/>
  <c r="G131"/>
  <c r="G127"/>
  <c r="I127" s="1"/>
  <c r="G123"/>
  <c r="G119"/>
  <c r="G115"/>
  <c r="G111"/>
  <c r="I111" s="1"/>
  <c r="G107"/>
  <c r="G103"/>
  <c r="G99"/>
  <c r="G95"/>
  <c r="I95" s="1"/>
  <c r="G91"/>
  <c r="G87"/>
  <c r="G83"/>
  <c r="G79"/>
  <c r="I79" s="1"/>
  <c r="G75"/>
  <c r="G71"/>
  <c r="G67"/>
  <c r="G63"/>
  <c r="I63" s="1"/>
  <c r="G59"/>
  <c r="G55"/>
  <c r="G51"/>
  <c r="G47"/>
  <c r="I47" s="1"/>
  <c r="G43"/>
  <c r="G39"/>
  <c r="G35"/>
  <c r="G31"/>
  <c r="I31" s="1"/>
  <c r="G27"/>
  <c r="G23"/>
  <c r="G19"/>
  <c r="G15"/>
  <c r="I15" s="1"/>
  <c r="G11"/>
  <c r="G7"/>
  <c r="H200"/>
  <c r="H196"/>
  <c r="H192"/>
  <c r="H188"/>
  <c r="H184"/>
  <c r="H180"/>
  <c r="H176"/>
  <c r="I176" s="1"/>
  <c r="H172"/>
  <c r="H168"/>
  <c r="H164"/>
  <c r="H160"/>
  <c r="I160" s="1"/>
  <c r="H156"/>
  <c r="I156" s="1"/>
  <c r="H152"/>
  <c r="I152" s="1"/>
  <c r="H148"/>
  <c r="I148" s="1"/>
  <c r="H144"/>
  <c r="I144" s="1"/>
  <c r="H140"/>
  <c r="I140" s="1"/>
  <c r="H136"/>
  <c r="H132"/>
  <c r="I132" s="1"/>
  <c r="H128"/>
  <c r="I128" s="1"/>
  <c r="H124"/>
  <c r="H120"/>
  <c r="H116"/>
  <c r="I116" s="1"/>
  <c r="H112"/>
  <c r="I112" s="1"/>
  <c r="H108"/>
  <c r="H104"/>
  <c r="H100"/>
  <c r="H96"/>
  <c r="I96" s="1"/>
  <c r="H92"/>
  <c r="I92" s="1"/>
  <c r="H88"/>
  <c r="H84"/>
  <c r="H80"/>
  <c r="H76"/>
  <c r="I76" s="1"/>
  <c r="H72"/>
  <c r="H68"/>
  <c r="H64"/>
  <c r="H60"/>
  <c r="H56"/>
  <c r="H52"/>
  <c r="H48"/>
  <c r="I48" s="1"/>
  <c r="H44"/>
  <c r="H40"/>
  <c r="H36"/>
  <c r="H32"/>
  <c r="I32" s="1"/>
  <c r="H28"/>
  <c r="I28" s="1"/>
  <c r="H24"/>
  <c r="I24" s="1"/>
  <c r="H20"/>
  <c r="I20" s="1"/>
  <c r="H16"/>
  <c r="I16" s="1"/>
  <c r="H12"/>
  <c r="I12" s="1"/>
  <c r="H8"/>
  <c r="I36" l="1"/>
  <c r="I52"/>
  <c r="I68"/>
  <c r="I84"/>
  <c r="I164"/>
  <c r="I180"/>
  <c r="I196"/>
  <c r="I61"/>
  <c r="I125"/>
  <c r="I157"/>
  <c r="I73"/>
  <c r="I105"/>
  <c r="I201"/>
  <c r="I100"/>
  <c r="I200"/>
  <c r="I104"/>
  <c r="I168"/>
  <c r="I37"/>
  <c r="I101"/>
  <c r="I165"/>
  <c r="I49"/>
  <c r="I113"/>
  <c r="I177"/>
  <c r="I64"/>
  <c r="I192"/>
  <c r="I27"/>
  <c r="I59"/>
  <c r="I91"/>
  <c r="I123"/>
  <c r="I155"/>
  <c r="I2"/>
  <c r="I14"/>
  <c r="I78"/>
  <c r="I142"/>
  <c r="I44"/>
  <c r="I60"/>
  <c r="I108"/>
  <c r="I124"/>
  <c r="I172"/>
  <c r="I188"/>
  <c r="I77"/>
  <c r="I141"/>
  <c r="I173"/>
  <c r="I3"/>
  <c r="I10"/>
  <c r="I42"/>
  <c r="I74"/>
  <c r="I106"/>
  <c r="I138"/>
  <c r="I170"/>
  <c r="I202"/>
  <c r="I121"/>
  <c r="I153"/>
  <c r="I80"/>
  <c r="I11"/>
  <c r="I43"/>
  <c r="I75"/>
  <c r="I107"/>
  <c r="I139"/>
  <c r="I171"/>
  <c r="I187"/>
  <c r="I46"/>
  <c r="I110"/>
  <c r="I174"/>
  <c r="I8"/>
  <c r="I120"/>
  <c r="I136"/>
  <c r="I9"/>
  <c r="I69"/>
  <c r="I133"/>
  <c r="I197"/>
  <c r="I17"/>
  <c r="I81"/>
  <c r="I145"/>
  <c r="I7"/>
  <c r="I39"/>
  <c r="I71"/>
  <c r="I103"/>
  <c r="I135"/>
  <c r="I167"/>
  <c r="I199"/>
  <c r="I122"/>
  <c r="I154"/>
  <c r="I186"/>
  <c r="I19"/>
  <c r="I35"/>
  <c r="I51"/>
  <c r="I67"/>
  <c r="I83"/>
  <c r="I99"/>
  <c r="I115"/>
  <c r="I131"/>
  <c r="I147"/>
  <c r="I163"/>
  <c r="I179"/>
  <c r="I195"/>
  <c r="I6"/>
  <c r="I38"/>
  <c r="I70"/>
  <c r="I102"/>
  <c r="I134"/>
  <c r="I166"/>
  <c r="I198"/>
  <c r="I23"/>
  <c r="I55"/>
  <c r="I87"/>
  <c r="I119"/>
  <c r="I151"/>
  <c r="I183"/>
  <c r="I26"/>
  <c r="I58"/>
  <c r="I90"/>
  <c r="I18"/>
  <c r="I34"/>
  <c r="I50"/>
  <c r="I66"/>
  <c r="I82"/>
  <c r="I98"/>
  <c r="I114"/>
  <c r="I130"/>
  <c r="I146"/>
  <c r="I162"/>
  <c r="I178"/>
  <c r="I194"/>
</calcChain>
</file>

<file path=xl/sharedStrings.xml><?xml version="1.0" encoding="utf-8"?>
<sst xmlns="http://schemas.openxmlformats.org/spreadsheetml/2006/main" count="104" uniqueCount="61">
  <si>
    <t>U1n</t>
  </si>
  <si>
    <t>U2n</t>
  </si>
  <si>
    <t>Sn</t>
  </si>
  <si>
    <t>Uk</t>
  </si>
  <si>
    <t>Pk</t>
  </si>
  <si>
    <t>V</t>
  </si>
  <si>
    <t>VA</t>
  </si>
  <si>
    <t>Ik</t>
  </si>
  <si>
    <t>alfa</t>
  </si>
  <si>
    <t>k</t>
  </si>
  <si>
    <t>W</t>
  </si>
  <si>
    <t>uk%</t>
  </si>
  <si>
    <t>ur%</t>
  </si>
  <si>
    <t>ux%</t>
  </si>
  <si>
    <t>I2/I2n</t>
  </si>
  <si>
    <t>cap</t>
  </si>
  <si>
    <t>deltau21</t>
  </si>
  <si>
    <t>deltau22</t>
  </si>
  <si>
    <t>deltau23</t>
  </si>
  <si>
    <t>U21</t>
  </si>
  <si>
    <t>U22</t>
  </si>
  <si>
    <t>U23</t>
  </si>
  <si>
    <t>ind</t>
  </si>
  <si>
    <t>Tamb</t>
  </si>
  <si>
    <t>Rdc'</t>
  </si>
  <si>
    <t>Rdc''</t>
  </si>
  <si>
    <t>cosfik</t>
  </si>
  <si>
    <t xml:space="preserve">T </t>
  </si>
  <si>
    <t>Zk</t>
  </si>
  <si>
    <t>Rk</t>
  </si>
  <si>
    <t>Xk</t>
  </si>
  <si>
    <t xml:space="preserve">ΔϑD[ °C] </t>
  </si>
  <si>
    <t>RBM</t>
  </si>
  <si>
    <t xml:space="preserve">ΔϑG[ °C] </t>
  </si>
  <si>
    <t>α</t>
  </si>
  <si>
    <t xml:space="preserve">ΔϑJ [°C] </t>
  </si>
  <si>
    <t>Udc[V]</t>
  </si>
  <si>
    <t>Idc[A]</t>
  </si>
  <si>
    <t>Uk[V]</t>
  </si>
  <si>
    <t>Ik[A]</t>
  </si>
  <si>
    <t>Pk[W]</t>
  </si>
  <si>
    <t>t[min]</t>
  </si>
  <si>
    <t>T[°C]</t>
  </si>
  <si>
    <r>
      <t>R'dc[</t>
    </r>
    <r>
      <rPr>
        <b/>
        <sz val="11"/>
        <color theme="1"/>
        <rFont val="Calibri"/>
        <family val="2"/>
        <charset val="238"/>
      </rPr>
      <t>Ω]</t>
    </r>
  </si>
  <si>
    <t>cosφ</t>
  </si>
  <si>
    <t>sinφ</t>
  </si>
  <si>
    <t>an%</t>
  </si>
  <si>
    <t>bn%</t>
  </si>
  <si>
    <t>Δu%</t>
  </si>
  <si>
    <t>cosφ1</t>
  </si>
  <si>
    <t>an%1</t>
  </si>
  <si>
    <t>bn%1</t>
  </si>
  <si>
    <t>cosφ2</t>
  </si>
  <si>
    <t>sinφ2</t>
  </si>
  <si>
    <t>an%2</t>
  </si>
  <si>
    <t>bn%2</t>
  </si>
  <si>
    <t>cosφ3</t>
  </si>
  <si>
    <t>sinφ3</t>
  </si>
  <si>
    <t>an%3</t>
  </si>
  <si>
    <t>bn%3</t>
  </si>
  <si>
    <t>Idc[mA]</t>
  </si>
</sst>
</file>

<file path=xl/styles.xml><?xml version="1.0" encoding="utf-8"?>
<styleSheet xmlns="http://schemas.openxmlformats.org/spreadsheetml/2006/main">
  <numFmts count="1">
    <numFmt numFmtId="164" formatCode="0.000%"/>
  </numFmts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 tint="4.9989318521683403E-2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sz val="12"/>
      <color rgb="FF202122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0" fontId="2" fillId="2" borderId="0" xfId="0" applyFont="1" applyFill="1"/>
    <xf numFmtId="10" fontId="2" fillId="2" borderId="0" xfId="0" applyNumberFormat="1" applyFont="1" applyFill="1"/>
    <xf numFmtId="0" fontId="0" fillId="2" borderId="0" xfId="0" applyFill="1"/>
    <xf numFmtId="10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1" fillId="0" borderId="0" xfId="0" applyFont="1" applyFill="1"/>
    <xf numFmtId="0" fontId="4" fillId="0" borderId="0" xfId="0" applyFont="1"/>
    <xf numFmtId="0" fontId="5" fillId="0" borderId="0" xfId="0" applyFont="1"/>
    <xf numFmtId="10" fontId="0" fillId="3" borderId="0" xfId="0" applyNumberFormat="1" applyFill="1"/>
    <xf numFmtId="164" fontId="0" fillId="0" borderId="0" xfId="0" applyNumberFormat="1"/>
    <xf numFmtId="164" fontId="0" fillId="2" borderId="0" xfId="0" applyNumberForma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tx>
            <c:v>cap</c:v>
          </c:tx>
          <c:marker>
            <c:symbol val="none"/>
          </c:marker>
          <c:xVal>
            <c:numRef>
              <c:f>'deltau=f(cosfi)'!$E$2:$E$102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'deltau=f(cosfi)'!$I$2:$I$102</c:f>
              <c:numCache>
                <c:formatCode>0.00%</c:formatCode>
                <c:ptCount val="101"/>
                <c:pt idx="0">
                  <c:v>-1.9920574595097041E-2</c:v>
                </c:pt>
                <c:pt idx="1">
                  <c:v>-1.9003397592193761E-2</c:v>
                </c:pt>
                <c:pt idx="2">
                  <c:v>-1.8084232034050744E-2</c:v>
                </c:pt>
                <c:pt idx="3">
                  <c:v>-1.7163077076571408E-2</c:v>
                </c:pt>
                <c:pt idx="4">
                  <c:v>-1.6239931274888764E-2</c:v>
                </c:pt>
                <c:pt idx="5">
                  <c:v>-1.5314792581137401E-2</c:v>
                </c:pt>
                <c:pt idx="6">
                  <c:v>-1.4387658341312302E-2</c:v>
                </c:pt>
                <c:pt idx="7">
                  <c:v>-1.3458525291203406E-2</c:v>
                </c:pt>
                <c:pt idx="8">
                  <c:v>-1.2527389551391455E-2</c:v>
                </c:pt>
                <c:pt idx="9">
                  <c:v>-1.1594246621287328E-2</c:v>
                </c:pt>
                <c:pt idx="10">
                  <c:v>-1.0659091372193553E-2</c:v>
                </c:pt>
                <c:pt idx="11">
                  <c:v>-9.7219180393629222E-3</c:v>
                </c:pt>
                <c:pt idx="12">
                  <c:v>-8.782720213025506E-3</c:v>
                </c:pt>
                <c:pt idx="13">
                  <c:v>-7.841490828351113E-3</c:v>
                </c:pt>
                <c:pt idx="14">
                  <c:v>-6.8982221543102719E-3</c:v>
                </c:pt>
                <c:pt idx="15">
                  <c:v>-5.9529057813921191E-3</c:v>
                </c:pt>
                <c:pt idx="16">
                  <c:v>-5.0055326081329225E-3</c:v>
                </c:pt>
                <c:pt idx="17">
                  <c:v>-4.0560928264039321E-3</c:v>
                </c:pt>
                <c:pt idx="18">
                  <c:v>-3.1045759054016357E-3</c:v>
                </c:pt>
                <c:pt idx="19">
                  <c:v>-2.1509705742778678E-3</c:v>
                </c:pt>
                <c:pt idx="20">
                  <c:v>-1.195264803340768E-3</c:v>
                </c:pt>
                <c:pt idx="21">
                  <c:v>-2.3744578375084488E-4</c:v>
                </c:pt>
                <c:pt idx="22">
                  <c:v>7.2250009437101659E-4</c:v>
                </c:pt>
                <c:pt idx="23">
                  <c:v>1.6845872655147118E-3</c:v>
                </c:pt>
                <c:pt idx="24">
                  <c:v>2.648831014131122E-3</c:v>
                </c:pt>
                <c:pt idx="25">
                  <c:v>3.6152475018707609E-3</c:v>
                </c:pt>
                <c:pt idx="26">
                  <c:v>4.5838537968306246E-3</c:v>
                </c:pt>
                <c:pt idx="27">
                  <c:v>5.554667904940456E-3</c:v>
                </c:pt>
                <c:pt idx="28">
                  <c:v>6.5277088036320863E-3</c:v>
                </c:pt>
                <c:pt idx="29">
                  <c:v>7.502996477949336E-3</c:v>
                </c:pt>
                <c:pt idx="30">
                  <c:v>8.4805519592711636E-3</c:v>
                </c:pt>
                <c:pt idx="31">
                  <c:v>9.4603973668372365E-3</c:v>
                </c:pt>
                <c:pt idx="32">
                  <c:v>1.0442555952284086E-2</c:v>
                </c:pt>
                <c:pt idx="33">
                  <c:v>1.1427052147419998E-2</c:v>
                </c:pt>
                <c:pt idx="34">
                  <c:v>1.2413911615489959E-2</c:v>
                </c:pt>
                <c:pt idx="35">
                  <c:v>1.3403161306207056E-2</c:v>
                </c:pt>
                <c:pt idx="36">
                  <c:v>1.4394829514855058E-2</c:v>
                </c:pt>
                <c:pt idx="37">
                  <c:v>1.5388945945798248E-2</c:v>
                </c:pt>
                <c:pt idx="38">
                  <c:v>1.6385541780769907E-2</c:v>
                </c:pt>
                <c:pt idx="39">
                  <c:v>1.7384649752350115E-2</c:v>
                </c:pt>
                <c:pt idx="40">
                  <c:v>1.8386304223087728E-2</c:v>
                </c:pt>
                <c:pt idx="41">
                  <c:v>1.9390541270771298E-2</c:v>
                </c:pt>
                <c:pt idx="42">
                  <c:v>2.0397398780409377E-2</c:v>
                </c:pt>
                <c:pt idx="43">
                  <c:v>2.140691654354418E-2</c:v>
                </c:pt>
                <c:pt idx="44">
                  <c:v>2.2419136365593853E-2</c:v>
                </c:pt>
                <c:pt idx="45">
                  <c:v>2.343410218199975E-2</c:v>
                </c:pt>
                <c:pt idx="46">
                  <c:v>2.4451860184047255E-2</c:v>
                </c:pt>
                <c:pt idx="47">
                  <c:v>2.5472458955333423E-2</c:v>
                </c:pt>
                <c:pt idx="48">
                  <c:v>2.6495949619974608E-2</c:v>
                </c:pt>
                <c:pt idx="49">
                  <c:v>2.7522386003784025E-2</c:v>
                </c:pt>
                <c:pt idx="50">
                  <c:v>2.8551824809806503E-2</c:v>
                </c:pt>
                <c:pt idx="51">
                  <c:v>2.9584325809778159E-2</c:v>
                </c:pt>
                <c:pt idx="52">
                  <c:v>3.0619952053287353E-2</c:v>
                </c:pt>
                <c:pt idx="53">
                  <c:v>3.1658770096654049E-2</c:v>
                </c:pt>
                <c:pt idx="54">
                  <c:v>3.2700850253824298E-2</c:v>
                </c:pt>
                <c:pt idx="55">
                  <c:v>3.3746266871901749E-2</c:v>
                </c:pt>
                <c:pt idx="56">
                  <c:v>3.4795098634317387E-2</c:v>
                </c:pt>
                <c:pt idx="57">
                  <c:v>3.5847428895083057E-2</c:v>
                </c:pt>
                <c:pt idx="58">
                  <c:v>3.6903346048096523E-2</c:v>
                </c:pt>
                <c:pt idx="59">
                  <c:v>3.7962943936080469E-2</c:v>
                </c:pt>
                <c:pt idx="60">
                  <c:v>3.902632230446744E-2</c:v>
                </c:pt>
                <c:pt idx="61">
                  <c:v>4.0093587306406914E-2</c:v>
                </c:pt>
                <c:pt idx="62">
                  <c:v>4.1164852066103881E-2</c:v>
                </c:pt>
                <c:pt idx="63">
                  <c:v>4.2240237308935058E-2</c:v>
                </c:pt>
                <c:pt idx="64">
                  <c:v>4.3319872068277705E-2</c:v>
                </c:pt>
                <c:pt idx="65">
                  <c:v>4.44038944807865E-2</c:v>
                </c:pt>
                <c:pt idx="66">
                  <c:v>4.5492452684041895E-2</c:v>
                </c:pt>
                <c:pt idx="67">
                  <c:v>4.6585705833166922E-2</c:v>
                </c:pt>
                <c:pt idx="68">
                  <c:v>4.7683825256293444E-2</c:v>
                </c:pt>
                <c:pt idx="69">
                  <c:v>4.8786995772817525E-2</c:v>
                </c:pt>
                <c:pt idx="70">
                  <c:v>4.9895417203430402E-2</c:v>
                </c:pt>
                <c:pt idx="71">
                  <c:v>5.1009306107228175E-2</c:v>
                </c:pt>
                <c:pt idx="72">
                  <c:v>5.2128897789165983E-2</c:v>
                </c:pt>
                <c:pt idx="73">
                  <c:v>5.3254448631233395E-2</c:v>
                </c:pt>
                <c:pt idx="74">
                  <c:v>5.4386238813670919E-2</c:v>
                </c:pt>
                <c:pt idx="75">
                  <c:v>5.5524575509256061E-2</c:v>
                </c:pt>
                <c:pt idx="76">
                  <c:v>5.6669796655455164E-2</c:v>
                </c:pt>
                <c:pt idx="77">
                  <c:v>5.7822275437874181E-2</c:v>
                </c:pt>
                <c:pt idx="78">
                  <c:v>5.8982425656515271E-2</c:v>
                </c:pt>
                <c:pt idx="79">
                  <c:v>6.0150708197545172E-2</c:v>
                </c:pt>
                <c:pt idx="80">
                  <c:v>6.1327638902986849E-2</c:v>
                </c:pt>
                <c:pt idx="81">
                  <c:v>6.2513798226929235E-2</c:v>
                </c:pt>
                <c:pt idx="82">
                  <c:v>6.3709843201529184E-2</c:v>
                </c:pt>
                <c:pt idx="83">
                  <c:v>6.4916522427720114E-2</c:v>
                </c:pt>
                <c:pt idx="84">
                  <c:v>6.6134695083102601E-2</c:v>
                </c:pt>
                <c:pt idx="85">
                  <c:v>6.7365355349462891E-2</c:v>
                </c:pt>
                <c:pt idx="86">
                  <c:v>6.8609664281268704E-2</c:v>
                </c:pt>
                <c:pt idx="87">
                  <c:v>6.9868992093964827E-2</c:v>
                </c:pt>
                <c:pt idx="88">
                  <c:v>7.1144975373629848E-2</c:v>
                </c:pt>
                <c:pt idx="89">
                  <c:v>7.2439596208666468E-2</c:v>
                </c:pt>
                <c:pt idx="90">
                  <c:v>7.3755294496722371E-2</c:v>
                </c:pt>
                <c:pt idx="91">
                  <c:v>7.5095132226841874E-2</c:v>
                </c:pt>
                <c:pt idx="92">
                  <c:v>7.6463042610000392E-2</c:v>
                </c:pt>
                <c:pt idx="93">
                  <c:v>7.7864224778945029E-2</c:v>
                </c:pt>
                <c:pt idx="94">
                  <c:v>7.9305804030047305E-2</c:v>
                </c:pt>
                <c:pt idx="95">
                  <c:v>8.0798015674470675E-2</c:v>
                </c:pt>
                <c:pt idx="96">
                  <c:v>8.2356532917878075E-2</c:v>
                </c:pt>
                <c:pt idx="97">
                  <c:v>8.4007677604862857E-2</c:v>
                </c:pt>
                <c:pt idx="98">
                  <c:v>8.5802648173012835E-2</c:v>
                </c:pt>
                <c:pt idx="99">
                  <c:v>8.7873280404514947E-2</c:v>
                </c:pt>
                <c:pt idx="100">
                  <c:v>9.1601992512499994E-2</c:v>
                </c:pt>
              </c:numCache>
            </c:numRef>
          </c:yVal>
        </c:ser>
        <c:ser>
          <c:idx val="1"/>
          <c:order val="1"/>
          <c:tx>
            <c:v>ind</c:v>
          </c:tx>
          <c:marker>
            <c:symbol val="none"/>
          </c:marker>
          <c:xVal>
            <c:numRef>
              <c:f>'deltau=f(cosfi)'!$E$102:$E$202</c:f>
              <c:numCache>
                <c:formatCode>General</c:formatCode>
                <c:ptCount val="10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0.93</c:v>
                </c:pt>
                <c:pt idx="8">
                  <c:v>0.92</c:v>
                </c:pt>
                <c:pt idx="9">
                  <c:v>0.91</c:v>
                </c:pt>
                <c:pt idx="10">
                  <c:v>0.9</c:v>
                </c:pt>
                <c:pt idx="11">
                  <c:v>0.89</c:v>
                </c:pt>
                <c:pt idx="12">
                  <c:v>0.88</c:v>
                </c:pt>
                <c:pt idx="13">
                  <c:v>0.87</c:v>
                </c:pt>
                <c:pt idx="14">
                  <c:v>0.86</c:v>
                </c:pt>
                <c:pt idx="15">
                  <c:v>0.85</c:v>
                </c:pt>
                <c:pt idx="16">
                  <c:v>0.84</c:v>
                </c:pt>
                <c:pt idx="17">
                  <c:v>0.83</c:v>
                </c:pt>
                <c:pt idx="18">
                  <c:v>0.82</c:v>
                </c:pt>
                <c:pt idx="19">
                  <c:v>0.81</c:v>
                </c:pt>
                <c:pt idx="20">
                  <c:v>0.8</c:v>
                </c:pt>
                <c:pt idx="21">
                  <c:v>0.79</c:v>
                </c:pt>
                <c:pt idx="22">
                  <c:v>0.78</c:v>
                </c:pt>
                <c:pt idx="23">
                  <c:v>0.77</c:v>
                </c:pt>
                <c:pt idx="24">
                  <c:v>0.76</c:v>
                </c:pt>
                <c:pt idx="25">
                  <c:v>0.75</c:v>
                </c:pt>
                <c:pt idx="26">
                  <c:v>0.74</c:v>
                </c:pt>
                <c:pt idx="27">
                  <c:v>0.73</c:v>
                </c:pt>
                <c:pt idx="28">
                  <c:v>0.72</c:v>
                </c:pt>
                <c:pt idx="29">
                  <c:v>0.71</c:v>
                </c:pt>
                <c:pt idx="30">
                  <c:v>0.7</c:v>
                </c:pt>
                <c:pt idx="31">
                  <c:v>0.69</c:v>
                </c:pt>
                <c:pt idx="32">
                  <c:v>0.68</c:v>
                </c:pt>
                <c:pt idx="33">
                  <c:v>0.67</c:v>
                </c:pt>
                <c:pt idx="34">
                  <c:v>0.66</c:v>
                </c:pt>
                <c:pt idx="35">
                  <c:v>0.65</c:v>
                </c:pt>
                <c:pt idx="36">
                  <c:v>0.64</c:v>
                </c:pt>
                <c:pt idx="37">
                  <c:v>0.63</c:v>
                </c:pt>
                <c:pt idx="38">
                  <c:v>0.62</c:v>
                </c:pt>
                <c:pt idx="39">
                  <c:v>0.61</c:v>
                </c:pt>
                <c:pt idx="40">
                  <c:v>0.6</c:v>
                </c:pt>
                <c:pt idx="41">
                  <c:v>0.59</c:v>
                </c:pt>
                <c:pt idx="42">
                  <c:v>0.57999999999999996</c:v>
                </c:pt>
                <c:pt idx="43">
                  <c:v>0.56999999999999995</c:v>
                </c:pt>
                <c:pt idx="44">
                  <c:v>0.56000000000000005</c:v>
                </c:pt>
                <c:pt idx="45">
                  <c:v>0.55000000000000004</c:v>
                </c:pt>
                <c:pt idx="46">
                  <c:v>0.54</c:v>
                </c:pt>
                <c:pt idx="47">
                  <c:v>0.53</c:v>
                </c:pt>
                <c:pt idx="48">
                  <c:v>0.52</c:v>
                </c:pt>
                <c:pt idx="49">
                  <c:v>0.51</c:v>
                </c:pt>
                <c:pt idx="50">
                  <c:v>0.5</c:v>
                </c:pt>
                <c:pt idx="51">
                  <c:v>0.49</c:v>
                </c:pt>
                <c:pt idx="52">
                  <c:v>0.48</c:v>
                </c:pt>
                <c:pt idx="53">
                  <c:v>0.47</c:v>
                </c:pt>
                <c:pt idx="54">
                  <c:v>0.46</c:v>
                </c:pt>
                <c:pt idx="55">
                  <c:v>0.45</c:v>
                </c:pt>
                <c:pt idx="56">
                  <c:v>0.44</c:v>
                </c:pt>
                <c:pt idx="57">
                  <c:v>0.42999999999999899</c:v>
                </c:pt>
                <c:pt idx="58">
                  <c:v>0.41999999999999899</c:v>
                </c:pt>
                <c:pt idx="59">
                  <c:v>0.40999999999999898</c:v>
                </c:pt>
                <c:pt idx="60">
                  <c:v>0.39999999999999902</c:v>
                </c:pt>
                <c:pt idx="61">
                  <c:v>0.38999999999999901</c:v>
                </c:pt>
                <c:pt idx="62">
                  <c:v>0.37999999999999901</c:v>
                </c:pt>
                <c:pt idx="63">
                  <c:v>0.369999999999999</c:v>
                </c:pt>
                <c:pt idx="64">
                  <c:v>0.35999999999999899</c:v>
                </c:pt>
                <c:pt idx="65">
                  <c:v>0.34999999999999898</c:v>
                </c:pt>
                <c:pt idx="66">
                  <c:v>0.33999999999999903</c:v>
                </c:pt>
                <c:pt idx="67">
                  <c:v>0.32999999999999902</c:v>
                </c:pt>
                <c:pt idx="68">
                  <c:v>0.31999999999999901</c:v>
                </c:pt>
                <c:pt idx="69">
                  <c:v>0.309999999999999</c:v>
                </c:pt>
                <c:pt idx="70">
                  <c:v>0.29999999999999899</c:v>
                </c:pt>
                <c:pt idx="71">
                  <c:v>0.28999999999999898</c:v>
                </c:pt>
                <c:pt idx="72">
                  <c:v>0.27999999999999903</c:v>
                </c:pt>
                <c:pt idx="73">
                  <c:v>0.26999999999999902</c:v>
                </c:pt>
                <c:pt idx="74">
                  <c:v>0.25999999999999901</c:v>
                </c:pt>
                <c:pt idx="75">
                  <c:v>0.249999999999999</c:v>
                </c:pt>
                <c:pt idx="76">
                  <c:v>0.23999999999999899</c:v>
                </c:pt>
                <c:pt idx="77">
                  <c:v>0.22999999999999901</c:v>
                </c:pt>
                <c:pt idx="78">
                  <c:v>0.219999999999999</c:v>
                </c:pt>
                <c:pt idx="79">
                  <c:v>0.20999999999999899</c:v>
                </c:pt>
                <c:pt idx="80">
                  <c:v>0.19999999999999901</c:v>
                </c:pt>
                <c:pt idx="81">
                  <c:v>0.189999999999999</c:v>
                </c:pt>
                <c:pt idx="82">
                  <c:v>0.17999999999999899</c:v>
                </c:pt>
                <c:pt idx="83">
                  <c:v>0.16999999999999901</c:v>
                </c:pt>
                <c:pt idx="84">
                  <c:v>0.159999999999999</c:v>
                </c:pt>
                <c:pt idx="85">
                  <c:v>0.149999999999999</c:v>
                </c:pt>
                <c:pt idx="86">
                  <c:v>0.13999999999999899</c:v>
                </c:pt>
                <c:pt idx="87">
                  <c:v>0.12999999999999901</c:v>
                </c:pt>
                <c:pt idx="88">
                  <c:v>0.119999999999999</c:v>
                </c:pt>
                <c:pt idx="89">
                  <c:v>0.109999999999999</c:v>
                </c:pt>
                <c:pt idx="90">
                  <c:v>9.9999999999999006E-2</c:v>
                </c:pt>
                <c:pt idx="91">
                  <c:v>8.9999999999998997E-2</c:v>
                </c:pt>
                <c:pt idx="92">
                  <c:v>7.9999999999999002E-2</c:v>
                </c:pt>
                <c:pt idx="93">
                  <c:v>6.9999999999998994E-2</c:v>
                </c:pt>
                <c:pt idx="94">
                  <c:v>5.9999999999999103E-2</c:v>
                </c:pt>
                <c:pt idx="95">
                  <c:v>4.9999999999998997E-2</c:v>
                </c:pt>
                <c:pt idx="96">
                  <c:v>3.9999999999999002E-2</c:v>
                </c:pt>
                <c:pt idx="97">
                  <c:v>2.9999999999999E-2</c:v>
                </c:pt>
                <c:pt idx="98">
                  <c:v>1.9999999999999001E-2</c:v>
                </c:pt>
                <c:pt idx="99">
                  <c:v>9.9999999999990097E-3</c:v>
                </c:pt>
                <c:pt idx="100">
                  <c:v>0</c:v>
                </c:pt>
              </c:numCache>
            </c:numRef>
          </c:xVal>
          <c:yVal>
            <c:numRef>
              <c:f>'deltau=f(cosfi)'!$I$102:$I$202</c:f>
              <c:numCache>
                <c:formatCode>0.00%</c:formatCode>
                <c:ptCount val="101"/>
                <c:pt idx="0">
                  <c:v>9.1601992512499994E-2</c:v>
                </c:pt>
                <c:pt idx="1">
                  <c:v>9.3500295039927545E-2</c:v>
                </c:pt>
                <c:pt idx="2">
                  <c:v>9.3740501706757171E-2</c:v>
                </c:pt>
                <c:pt idx="3">
                  <c:v>9.3705030726119645E-2</c:v>
                </c:pt>
                <c:pt idx="4">
                  <c:v>9.3525717880201933E-2</c:v>
                </c:pt>
                <c:pt idx="5">
                  <c:v>9.3253761606591823E-2</c:v>
                </c:pt>
                <c:pt idx="6">
                  <c:v>9.2915483749882705E-2</c:v>
                </c:pt>
                <c:pt idx="7">
                  <c:v>9.2526557515737476E-2</c:v>
                </c:pt>
                <c:pt idx="8">
                  <c:v>9.2097218215319604E-2</c:v>
                </c:pt>
                <c:pt idx="9">
                  <c:v>9.1634591145000624E-2</c:v>
                </c:pt>
                <c:pt idx="10">
                  <c:v>9.1143875437527624E-2</c:v>
                </c:pt>
                <c:pt idx="11">
                  <c:v>9.0629004303876035E-2</c:v>
                </c:pt>
                <c:pt idx="12">
                  <c:v>9.0093039733090144E-2</c:v>
                </c:pt>
                <c:pt idx="13">
                  <c:v>8.9538421622817665E-2</c:v>
                </c:pt>
                <c:pt idx="14">
                  <c:v>8.8967132061461299E-2</c:v>
                </c:pt>
                <c:pt idx="15">
                  <c:v>8.8380807635099604E-2</c:v>
                </c:pt>
                <c:pt idx="16">
                  <c:v>8.7780818559177395E-2</c:v>
                </c:pt>
                <c:pt idx="17">
                  <c:v>8.7168325888162396E-2</c:v>
                </c:pt>
                <c:pt idx="18">
                  <c:v>8.654432380384082E-2</c:v>
                </c:pt>
                <c:pt idx="19">
                  <c:v>8.5909671483813288E-2</c:v>
                </c:pt>
                <c:pt idx="20">
                  <c:v>8.5265117529013154E-2</c:v>
                </c:pt>
                <c:pt idx="21">
                  <c:v>8.4611318971597321E-2</c:v>
                </c:pt>
                <c:pt idx="22">
                  <c:v>8.3948856265654723E-2</c:v>
                </c:pt>
                <c:pt idx="23">
                  <c:v>8.3278245253208316E-2</c:v>
                </c:pt>
                <c:pt idx="24">
                  <c:v>8.2599946820424833E-2</c:v>
                </c:pt>
                <c:pt idx="25">
                  <c:v>8.1914374767306439E-2</c:v>
                </c:pt>
                <c:pt idx="26">
                  <c:v>8.1221902279459079E-2</c:v>
                </c:pt>
                <c:pt idx="27">
                  <c:v>8.0522867294349099E-2</c:v>
                </c:pt>
                <c:pt idx="28">
                  <c:v>7.9817576984754002E-2</c:v>
                </c:pt>
                <c:pt idx="29">
                  <c:v>7.9106311530914325E-2</c:v>
                </c:pt>
                <c:pt idx="30">
                  <c:v>7.8389327314819596E-2</c:v>
                </c:pt>
                <c:pt idx="31">
                  <c:v>7.766685964142496E-2</c:v>
                </c:pt>
                <c:pt idx="32">
                  <c:v>7.6939125069826558E-2</c:v>
                </c:pt>
                <c:pt idx="33">
                  <c:v>7.620632342071558E-2</c:v>
                </c:pt>
                <c:pt idx="34">
                  <c:v>7.5468639513488117E-2</c:v>
                </c:pt>
                <c:pt idx="35">
                  <c:v>7.4726244676275991E-2</c:v>
                </c:pt>
                <c:pt idx="36">
                  <c:v>7.3979298064202309E-2</c:v>
                </c:pt>
                <c:pt idx="37">
                  <c:v>7.3227947814847455E-2</c:v>
                </c:pt>
                <c:pt idx="38">
                  <c:v>7.2472332064866127E-2</c:v>
                </c:pt>
                <c:pt idx="39">
                  <c:v>7.1712579847635585E-2</c:v>
                </c:pt>
                <c:pt idx="40">
                  <c:v>7.0948811888532567E-2</c:v>
                </c:pt>
                <c:pt idx="41">
                  <c:v>7.0181141311762021E-2</c:v>
                </c:pt>
                <c:pt idx="42">
                  <c:v>6.9409674270473468E-2</c:v>
                </c:pt>
                <c:pt idx="43">
                  <c:v>6.8634510510099431E-2</c:v>
                </c:pt>
                <c:pt idx="44">
                  <c:v>6.7855743873362628E-2</c:v>
                </c:pt>
                <c:pt idx="45">
                  <c:v>6.7073462754160762E-2</c:v>
                </c:pt>
                <c:pt idx="46">
                  <c:v>6.6287750506505691E-2</c:v>
                </c:pt>
                <c:pt idx="47">
                  <c:v>6.5498685813828464E-2</c:v>
                </c:pt>
                <c:pt idx="48">
                  <c:v>6.4706343023232651E-2</c:v>
                </c:pt>
                <c:pt idx="49">
                  <c:v>6.3910792448664336E-2</c:v>
                </c:pt>
                <c:pt idx="50">
                  <c:v>6.31121006464435E-2</c:v>
                </c:pt>
                <c:pt idx="51">
                  <c:v>6.2310330666158473E-2</c:v>
                </c:pt>
                <c:pt idx="52">
                  <c:v>6.150554227954539E-2</c:v>
                </c:pt>
                <c:pt idx="53">
                  <c:v>6.0697792189649075E-2</c:v>
                </c:pt>
                <c:pt idx="54">
                  <c:v>5.9887134222282742E-2</c:v>
                </c:pt>
                <c:pt idx="55">
                  <c:v>5.907361950156275E-2</c:v>
                </c:pt>
                <c:pt idx="56">
                  <c:v>5.8257296611086147E-2</c:v>
                </c:pt>
                <c:pt idx="57">
                  <c:v>5.7438211742138236E-2</c:v>
                </c:pt>
                <c:pt idx="58">
                  <c:v>5.6616408830160544E-2</c:v>
                </c:pt>
                <c:pt idx="59">
                  <c:v>5.5791929680571124E-2</c:v>
                </c:pt>
                <c:pt idx="60">
                  <c:v>5.4964814084912182E-2</c:v>
                </c:pt>
                <c:pt idx="61">
                  <c:v>5.4135099928192307E-2</c:v>
                </c:pt>
                <c:pt idx="62">
                  <c:v>5.3302823288200012E-2</c:v>
                </c:pt>
                <c:pt idx="63">
                  <c:v>5.2468018527484173E-2</c:v>
                </c:pt>
                <c:pt idx="64">
                  <c:v>5.1630718378624853E-2</c:v>
                </c:pt>
                <c:pt idx="65">
                  <c:v>5.0790954023355352E-2</c:v>
                </c:pt>
                <c:pt idx="66">
                  <c:v>4.9948755166039964E-2</c:v>
                </c:pt>
                <c:pt idx="67">
                  <c:v>4.9104150101962417E-2</c:v>
                </c:pt>
                <c:pt idx="68">
                  <c:v>4.8257165780835831E-2</c:v>
                </c:pt>
                <c:pt idx="69">
                  <c:v>4.740782786590518E-2</c:v>
                </c:pt>
                <c:pt idx="70">
                  <c:v>4.655616078897875E-2</c:v>
                </c:pt>
                <c:pt idx="71">
                  <c:v>4.5702187801693071E-2</c:v>
                </c:pt>
                <c:pt idx="72">
                  <c:v>4.4845931023287836E-2</c:v>
                </c:pt>
                <c:pt idx="73">
                  <c:v>4.3987411485141958E-2</c:v>
                </c:pt>
                <c:pt idx="74">
                  <c:v>4.3126649172299289E-2</c:v>
                </c:pt>
                <c:pt idx="75">
                  <c:v>4.2263663062191648E-2</c:v>
                </c:pt>
                <c:pt idx="76">
                  <c:v>4.1398471160748788E-2</c:v>
                </c:pt>
                <c:pt idx="77">
                  <c:v>4.0531090536067696E-2</c:v>
                </c:pt>
                <c:pt idx="78">
                  <c:v>3.9661537349798895E-2</c:v>
                </c:pt>
                <c:pt idx="79">
                  <c:v>3.8789826886393257E-2</c:v>
                </c:pt>
                <c:pt idx="80">
                  <c:v>3.7915973580340677E-2</c:v>
                </c:pt>
                <c:pt idx="81">
                  <c:v>3.7039991041520275E-2</c:v>
                </c:pt>
                <c:pt idx="82">
                  <c:v>3.6161892078771546E-2</c:v>
                </c:pt>
                <c:pt idx="83">
                  <c:v>3.5281688721786351E-2</c:v>
                </c:pt>
                <c:pt idx="84">
                  <c:v>3.4399392241412835E-2</c:v>
                </c:pt>
                <c:pt idx="85">
                  <c:v>3.3515013168454524E-2</c:v>
                </c:pt>
                <c:pt idx="86">
                  <c:v>3.2628561311040187E-2</c:v>
                </c:pt>
                <c:pt idx="87">
                  <c:v>3.1740045770633524E-2</c:v>
                </c:pt>
                <c:pt idx="88">
                  <c:v>3.0849474956745417E-2</c:v>
                </c:pt>
                <c:pt idx="89">
                  <c:v>2.9956856600405334E-2</c:v>
                </c:pt>
                <c:pt idx="90">
                  <c:v>2.9062197766443462E-2</c:v>
                </c:pt>
                <c:pt idx="91">
                  <c:v>2.816550486462974E-2</c:v>
                </c:pt>
                <c:pt idx="92">
                  <c:v>2.7266783659711365E-2</c:v>
                </c:pt>
                <c:pt idx="93">
                  <c:v>2.6366039280385813E-2</c:v>
                </c:pt>
                <c:pt idx="94">
                  <c:v>2.5463276227242222E-2</c:v>
                </c:pt>
                <c:pt idx="95">
                  <c:v>2.4558498379699808E-2</c:v>
                </c:pt>
                <c:pt idx="96">
                  <c:v>2.3651709001968675E-2</c:v>
                </c:pt>
                <c:pt idx="97">
                  <c:v>2.2742910748053818E-2</c:v>
                </c:pt>
                <c:pt idx="98">
                  <c:v>2.1832105665820653E-2</c:v>
                </c:pt>
                <c:pt idx="99">
                  <c:v>2.0919295200136169E-2</c:v>
                </c:pt>
                <c:pt idx="100">
                  <c:v>2.0004480195097044E-2</c:v>
                </c:pt>
              </c:numCache>
            </c:numRef>
          </c:yVal>
        </c:ser>
        <c:axId val="177128576"/>
        <c:axId val="177130112"/>
      </c:scatterChart>
      <c:valAx>
        <c:axId val="177128576"/>
        <c:scaling>
          <c:orientation val="minMax"/>
        </c:scaling>
        <c:axPos val="b"/>
        <c:numFmt formatCode="General" sourceLinked="1"/>
        <c:tickLblPos val="nextTo"/>
        <c:crossAx val="177130112"/>
        <c:crosses val="autoZero"/>
        <c:crossBetween val="midCat"/>
      </c:valAx>
      <c:valAx>
        <c:axId val="177130112"/>
        <c:scaling>
          <c:orientation val="minMax"/>
        </c:scaling>
        <c:axPos val="l"/>
        <c:majorGridlines/>
        <c:numFmt formatCode="0.00%" sourceLinked="1"/>
        <c:tickLblPos val="nextTo"/>
        <c:crossAx val="1771285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'deltau=f(cosfi)'!$F$2:$F$202</c:f>
              <c:numCache>
                <c:formatCode>General</c:formatCode>
                <c:ptCount val="201"/>
                <c:pt idx="0">
                  <c:v>-1</c:v>
                </c:pt>
                <c:pt idx="1">
                  <c:v>-0.99994999874993751</c:v>
                </c:pt>
                <c:pt idx="2">
                  <c:v>-0.99979997999599901</c:v>
                </c:pt>
                <c:pt idx="3">
                  <c:v>-0.9995498987044118</c:v>
                </c:pt>
                <c:pt idx="4">
                  <c:v>-0.99919967974374369</c:v>
                </c:pt>
                <c:pt idx="5">
                  <c:v>-0.99874921777190895</c:v>
                </c:pt>
                <c:pt idx="6">
                  <c:v>-0.99819837707742243</c:v>
                </c:pt>
                <c:pt idx="7">
                  <c:v>-0.99754699137434122</c:v>
                </c:pt>
                <c:pt idx="8">
                  <c:v>-0.996794863550169</c:v>
                </c:pt>
                <c:pt idx="9">
                  <c:v>-0.99594176536582701</c:v>
                </c:pt>
                <c:pt idx="10">
                  <c:v>-0.99498743710661997</c:v>
                </c:pt>
                <c:pt idx="11">
                  <c:v>-0.99393158718294083</c:v>
                </c:pt>
                <c:pt idx="12">
                  <c:v>-0.99277389167926855</c:v>
                </c:pt>
                <c:pt idx="13">
                  <c:v>-0.99151399384980943</c:v>
                </c:pt>
                <c:pt idx="14">
                  <c:v>-0.99015150355892512</c:v>
                </c:pt>
                <c:pt idx="15">
                  <c:v>-0.98868599666425949</c:v>
                </c:pt>
                <c:pt idx="16">
                  <c:v>-0.98711701434024535</c:v>
                </c:pt>
                <c:pt idx="17">
                  <c:v>-0.98544406233941051</c:v>
                </c:pt>
                <c:pt idx="18">
                  <c:v>-0.98366661018863499</c:v>
                </c:pt>
                <c:pt idx="19">
                  <c:v>-0.98178409031721425</c:v>
                </c:pt>
                <c:pt idx="20">
                  <c:v>-0.9797958971132712</c:v>
                </c:pt>
                <c:pt idx="21">
                  <c:v>-0.97770138590471478</c:v>
                </c:pt>
                <c:pt idx="22">
                  <c:v>-0.97549987186057585</c:v>
                </c:pt>
                <c:pt idx="23">
                  <c:v>-0.97319062880814877</c:v>
                </c:pt>
                <c:pt idx="24">
                  <c:v>-0.97077288796092776</c:v>
                </c:pt>
                <c:pt idx="25">
                  <c:v>-0.96824583655185426</c:v>
                </c:pt>
                <c:pt idx="26">
                  <c:v>-0.96560861636586492</c:v>
                </c:pt>
                <c:pt idx="27">
                  <c:v>-0.96286032216516226</c:v>
                </c:pt>
                <c:pt idx="28">
                  <c:v>-0.96</c:v>
                </c:pt>
                <c:pt idx="29">
                  <c:v>-0.95702664539708615</c:v>
                </c:pt>
                <c:pt idx="30">
                  <c:v>-0.95393920141694566</c:v>
                </c:pt>
                <c:pt idx="31">
                  <c:v>-0.95073655657074641</c:v>
                </c:pt>
                <c:pt idx="32">
                  <c:v>-0.94741754258616084</c:v>
                </c:pt>
                <c:pt idx="33">
                  <c:v>-0.94398093201081135</c:v>
                </c:pt>
                <c:pt idx="34">
                  <c:v>-0.9404254356406998</c:v>
                </c:pt>
                <c:pt idx="35">
                  <c:v>-0.93674969975975975</c:v>
                </c:pt>
                <c:pt idx="36">
                  <c:v>-0.93295230317524813</c:v>
                </c:pt>
                <c:pt idx="37">
                  <c:v>-0.92903175403212135</c:v>
                </c:pt>
                <c:pt idx="38">
                  <c:v>-0.92498648638777425</c:v>
                </c:pt>
                <c:pt idx="39">
                  <c:v>-0.92081485652654405</c:v>
                </c:pt>
                <c:pt idx="40">
                  <c:v>-0.91651513899116799</c:v>
                </c:pt>
                <c:pt idx="41">
                  <c:v>-0.91208552230588558</c:v>
                </c:pt>
                <c:pt idx="42">
                  <c:v>-0.90752410436307418</c:v>
                </c:pt>
                <c:pt idx="43">
                  <c:v>-0.90282888744213319</c:v>
                </c:pt>
                <c:pt idx="44">
                  <c:v>-0.89799777282574589</c:v>
                </c:pt>
                <c:pt idx="45">
                  <c:v>-0.89302855497458755</c:v>
                </c:pt>
                <c:pt idx="46">
                  <c:v>-0.88791891521692456</c:v>
                </c:pt>
                <c:pt idx="47">
                  <c:v>-0.88266641490429443</c:v>
                </c:pt>
                <c:pt idx="48">
                  <c:v>-0.87726848797845236</c:v>
                </c:pt>
                <c:pt idx="49">
                  <c:v>-0.87172243288790041</c:v>
                </c:pt>
                <c:pt idx="50">
                  <c:v>-0.8660254037844386</c:v>
                </c:pt>
                <c:pt idx="51">
                  <c:v>-0.86017440092111552</c:v>
                </c:pt>
                <c:pt idx="52">
                  <c:v>-0.85416626016250496</c:v>
                </c:pt>
                <c:pt idx="53">
                  <c:v>-0.8479976415061542</c:v>
                </c:pt>
                <c:pt idx="54">
                  <c:v>-0.84166501650003245</c:v>
                </c:pt>
                <c:pt idx="55">
                  <c:v>-0.83516465442450327</c:v>
                </c:pt>
                <c:pt idx="56">
                  <c:v>-0.82849260708831907</c:v>
                </c:pt>
                <c:pt idx="57">
                  <c:v>-0.82164469206585888</c:v>
                </c:pt>
                <c:pt idx="58">
                  <c:v>-0.81461647417665206</c:v>
                </c:pt>
                <c:pt idx="59">
                  <c:v>-0.80740324497737814</c:v>
                </c:pt>
                <c:pt idx="60">
                  <c:v>-0.8</c:v>
                </c:pt>
                <c:pt idx="61">
                  <c:v>-0.79240141342630122</c:v>
                </c:pt>
                <c:pt idx="62">
                  <c:v>-0.7846018098373212</c:v>
                </c:pt>
                <c:pt idx="63">
                  <c:v>-0.77659513261415691</c:v>
                </c:pt>
                <c:pt idx="64">
                  <c:v>-0.7683749084919419</c:v>
                </c:pt>
                <c:pt idx="65">
                  <c:v>-0.75993420767853315</c:v>
                </c:pt>
                <c:pt idx="66">
                  <c:v>-0.751265598839718</c:v>
                </c:pt>
                <c:pt idx="67">
                  <c:v>-0.74236109811869855</c:v>
                </c:pt>
                <c:pt idx="68">
                  <c:v>-0.73321211119293428</c:v>
                </c:pt>
                <c:pt idx="69">
                  <c:v>-0.7238093671679029</c:v>
                </c:pt>
                <c:pt idx="70">
                  <c:v>-0.71414284285428498</c:v>
                </c:pt>
                <c:pt idx="71">
                  <c:v>-0.70420167565833014</c:v>
                </c:pt>
                <c:pt idx="72">
                  <c:v>-0.69397406291589891</c:v>
                </c:pt>
                <c:pt idx="73">
                  <c:v>-0.6834471449936711</c:v>
                </c:pt>
                <c:pt idx="74">
                  <c:v>-0.67260686883200949</c:v>
                </c:pt>
                <c:pt idx="75">
                  <c:v>-0.66143782776614768</c:v>
                </c:pt>
                <c:pt idx="76">
                  <c:v>-0.64992307237087688</c:v>
                </c:pt>
                <c:pt idx="77">
                  <c:v>-0.63804388563797088</c:v>
                </c:pt>
                <c:pt idx="78">
                  <c:v>-0.62577951388648057</c:v>
                </c:pt>
                <c:pt idx="79">
                  <c:v>-0.61310684223877321</c:v>
                </c:pt>
                <c:pt idx="80">
                  <c:v>-0.59999999999999987</c:v>
                </c:pt>
                <c:pt idx="81">
                  <c:v>-0.58642987645582989</c:v>
                </c:pt>
                <c:pt idx="82">
                  <c:v>-0.57236352085016751</c:v>
                </c:pt>
                <c:pt idx="83">
                  <c:v>-0.55776339069537362</c:v>
                </c:pt>
                <c:pt idx="84">
                  <c:v>-0.54258639865002156</c:v>
                </c:pt>
                <c:pt idx="85">
                  <c:v>-0.52678268764263703</c:v>
                </c:pt>
                <c:pt idx="86">
                  <c:v>-0.51029403288692299</c:v>
                </c:pt>
                <c:pt idx="87">
                  <c:v>-0.49305172142484199</c:v>
                </c:pt>
                <c:pt idx="88">
                  <c:v>-0.4749736834815167</c:v>
                </c:pt>
                <c:pt idx="89">
                  <c:v>-0.45596052460711989</c:v>
                </c:pt>
                <c:pt idx="90">
                  <c:v>-0.43588989435406728</c:v>
                </c:pt>
                <c:pt idx="91">
                  <c:v>-0.41460824883255754</c:v>
                </c:pt>
                <c:pt idx="92">
                  <c:v>-0.39191835884530846</c:v>
                </c:pt>
                <c:pt idx="93">
                  <c:v>-0.36755951898978195</c:v>
                </c:pt>
                <c:pt idx="94">
                  <c:v>-0.34117444218463971</c:v>
                </c:pt>
                <c:pt idx="95">
                  <c:v>-0.31224989991991997</c:v>
                </c:pt>
                <c:pt idx="96">
                  <c:v>-0.28000000000000003</c:v>
                </c:pt>
                <c:pt idx="97">
                  <c:v>-0.24310491562286443</c:v>
                </c:pt>
                <c:pt idx="98">
                  <c:v>-0.1989974874213242</c:v>
                </c:pt>
                <c:pt idx="99">
                  <c:v>-0.14106735979665894</c:v>
                </c:pt>
                <c:pt idx="100">
                  <c:v>0</c:v>
                </c:pt>
                <c:pt idx="101">
                  <c:v>0.14106735979665894</c:v>
                </c:pt>
                <c:pt idx="102">
                  <c:v>0.1989974874213242</c:v>
                </c:pt>
                <c:pt idx="103">
                  <c:v>0.24310491562286443</c:v>
                </c:pt>
                <c:pt idx="104">
                  <c:v>0.28000000000000003</c:v>
                </c:pt>
                <c:pt idx="105">
                  <c:v>0.31224989991991997</c:v>
                </c:pt>
                <c:pt idx="106">
                  <c:v>0.34117444218463971</c:v>
                </c:pt>
                <c:pt idx="107">
                  <c:v>0.36755951898978195</c:v>
                </c:pt>
                <c:pt idx="108">
                  <c:v>0.39191835884530846</c:v>
                </c:pt>
                <c:pt idx="109">
                  <c:v>0.41460824883255754</c:v>
                </c:pt>
                <c:pt idx="110">
                  <c:v>0.43588989435406728</c:v>
                </c:pt>
                <c:pt idx="111">
                  <c:v>0.45596052460711989</c:v>
                </c:pt>
                <c:pt idx="112">
                  <c:v>0.4749736834815167</c:v>
                </c:pt>
                <c:pt idx="113">
                  <c:v>0.49305172142484199</c:v>
                </c:pt>
                <c:pt idx="114">
                  <c:v>0.51029403288692299</c:v>
                </c:pt>
                <c:pt idx="115">
                  <c:v>0.52678268764263703</c:v>
                </c:pt>
                <c:pt idx="116">
                  <c:v>0.54258639865002156</c:v>
                </c:pt>
                <c:pt idx="117">
                  <c:v>0.55776339069537362</c:v>
                </c:pt>
                <c:pt idx="118">
                  <c:v>0.57236352085016751</c:v>
                </c:pt>
                <c:pt idx="119">
                  <c:v>0.58642987645582989</c:v>
                </c:pt>
                <c:pt idx="120">
                  <c:v>0.59999999999999987</c:v>
                </c:pt>
                <c:pt idx="121">
                  <c:v>0.61310684223877321</c:v>
                </c:pt>
                <c:pt idx="122">
                  <c:v>0.62577951388648057</c:v>
                </c:pt>
                <c:pt idx="123">
                  <c:v>0.63804388563797088</c:v>
                </c:pt>
                <c:pt idx="124">
                  <c:v>0.64992307237087688</c:v>
                </c:pt>
                <c:pt idx="125">
                  <c:v>0.66143782776614768</c:v>
                </c:pt>
                <c:pt idx="126">
                  <c:v>0.67260686883200949</c:v>
                </c:pt>
                <c:pt idx="127">
                  <c:v>0.6834471449936711</c:v>
                </c:pt>
                <c:pt idx="128">
                  <c:v>0.69397406291589891</c:v>
                </c:pt>
                <c:pt idx="129">
                  <c:v>0.70420167565833014</c:v>
                </c:pt>
                <c:pt idx="130">
                  <c:v>0.71414284285428498</c:v>
                </c:pt>
                <c:pt idx="131">
                  <c:v>0.7238093671679029</c:v>
                </c:pt>
                <c:pt idx="132">
                  <c:v>0.73321211119293428</c:v>
                </c:pt>
                <c:pt idx="133">
                  <c:v>0.74236109811869855</c:v>
                </c:pt>
                <c:pt idx="134">
                  <c:v>0.751265598839718</c:v>
                </c:pt>
                <c:pt idx="135">
                  <c:v>0.75993420767853315</c:v>
                </c:pt>
                <c:pt idx="136">
                  <c:v>0.7683749084919419</c:v>
                </c:pt>
                <c:pt idx="137">
                  <c:v>0.77659513261415691</c:v>
                </c:pt>
                <c:pt idx="138">
                  <c:v>0.7846018098373212</c:v>
                </c:pt>
                <c:pt idx="139">
                  <c:v>0.79240141342630122</c:v>
                </c:pt>
                <c:pt idx="140">
                  <c:v>0.8</c:v>
                </c:pt>
                <c:pt idx="141">
                  <c:v>0.80740324497737814</c:v>
                </c:pt>
                <c:pt idx="142">
                  <c:v>0.81461647417665206</c:v>
                </c:pt>
                <c:pt idx="143">
                  <c:v>0.82164469206585888</c:v>
                </c:pt>
                <c:pt idx="144">
                  <c:v>0.82849260708831907</c:v>
                </c:pt>
                <c:pt idx="145">
                  <c:v>0.83516465442450327</c:v>
                </c:pt>
                <c:pt idx="146">
                  <c:v>0.84166501650003245</c:v>
                </c:pt>
                <c:pt idx="147">
                  <c:v>0.8479976415061542</c:v>
                </c:pt>
                <c:pt idx="148">
                  <c:v>0.85416626016250496</c:v>
                </c:pt>
                <c:pt idx="149">
                  <c:v>0.86017440092111552</c:v>
                </c:pt>
                <c:pt idx="150">
                  <c:v>0.8660254037844386</c:v>
                </c:pt>
                <c:pt idx="151">
                  <c:v>0.87172243288790041</c:v>
                </c:pt>
                <c:pt idx="152">
                  <c:v>0.87726848797845236</c:v>
                </c:pt>
                <c:pt idx="153">
                  <c:v>0.88266641490429443</c:v>
                </c:pt>
                <c:pt idx="154">
                  <c:v>0.88791891521692456</c:v>
                </c:pt>
                <c:pt idx="155">
                  <c:v>0.89302855497458755</c:v>
                </c:pt>
                <c:pt idx="156">
                  <c:v>0.89799777282574589</c:v>
                </c:pt>
                <c:pt idx="157">
                  <c:v>0.90282888744213363</c:v>
                </c:pt>
                <c:pt idx="158">
                  <c:v>0.90752410436307474</c:v>
                </c:pt>
                <c:pt idx="159">
                  <c:v>0.91208552230588602</c:v>
                </c:pt>
                <c:pt idx="160">
                  <c:v>0.91651513899116843</c:v>
                </c:pt>
                <c:pt idx="161">
                  <c:v>0.92081485652654449</c:v>
                </c:pt>
                <c:pt idx="162">
                  <c:v>0.9249864863877747</c:v>
                </c:pt>
                <c:pt idx="163">
                  <c:v>0.92903175403212179</c:v>
                </c:pt>
                <c:pt idx="164">
                  <c:v>0.93295230317524847</c:v>
                </c:pt>
                <c:pt idx="165">
                  <c:v>0.93674969975976008</c:v>
                </c:pt>
                <c:pt idx="166">
                  <c:v>0.94042543564070014</c:v>
                </c:pt>
                <c:pt idx="167">
                  <c:v>0.94398093201081168</c:v>
                </c:pt>
                <c:pt idx="168">
                  <c:v>0.94741754258616118</c:v>
                </c:pt>
                <c:pt idx="169">
                  <c:v>0.95073655657074663</c:v>
                </c:pt>
                <c:pt idx="170">
                  <c:v>0.95393920141694599</c:v>
                </c:pt>
                <c:pt idx="171">
                  <c:v>0.95702664539708637</c:v>
                </c:pt>
                <c:pt idx="172">
                  <c:v>0.9600000000000003</c:v>
                </c:pt>
                <c:pt idx="173">
                  <c:v>0.96286032216516249</c:v>
                </c:pt>
                <c:pt idx="174">
                  <c:v>0.96560861636586515</c:v>
                </c:pt>
                <c:pt idx="175">
                  <c:v>0.96824583655185448</c:v>
                </c:pt>
                <c:pt idx="176">
                  <c:v>0.97077288796092798</c:v>
                </c:pt>
                <c:pt idx="177">
                  <c:v>0.97319062880814899</c:v>
                </c:pt>
                <c:pt idx="178">
                  <c:v>0.97549987186057607</c:v>
                </c:pt>
                <c:pt idx="179">
                  <c:v>0.977701385904715</c:v>
                </c:pt>
                <c:pt idx="180">
                  <c:v>0.97979589711327142</c:v>
                </c:pt>
                <c:pt idx="181">
                  <c:v>0.98178409031721448</c:v>
                </c:pt>
                <c:pt idx="182">
                  <c:v>0.98366661018863522</c:v>
                </c:pt>
                <c:pt idx="183">
                  <c:v>0.98544406233941062</c:v>
                </c:pt>
                <c:pt idx="184">
                  <c:v>0.98711701434024546</c:v>
                </c:pt>
                <c:pt idx="185">
                  <c:v>0.9886859966642596</c:v>
                </c:pt>
                <c:pt idx="186">
                  <c:v>0.99015150355892523</c:v>
                </c:pt>
                <c:pt idx="187">
                  <c:v>0.99151399384980965</c:v>
                </c:pt>
                <c:pt idx="188">
                  <c:v>0.99277389167926866</c:v>
                </c:pt>
                <c:pt idx="189">
                  <c:v>0.99393158718294095</c:v>
                </c:pt>
                <c:pt idx="190">
                  <c:v>0.99498743710662008</c:v>
                </c:pt>
                <c:pt idx="191">
                  <c:v>0.99594176536582713</c:v>
                </c:pt>
                <c:pt idx="192">
                  <c:v>0.99679486355016911</c:v>
                </c:pt>
                <c:pt idx="193">
                  <c:v>0.99754699137434122</c:v>
                </c:pt>
                <c:pt idx="194">
                  <c:v>0.99819837707742243</c:v>
                </c:pt>
                <c:pt idx="195">
                  <c:v>0.99874921777190895</c:v>
                </c:pt>
                <c:pt idx="196">
                  <c:v>0.9991996797437438</c:v>
                </c:pt>
                <c:pt idx="197">
                  <c:v>0.99954989870441191</c:v>
                </c:pt>
                <c:pt idx="198">
                  <c:v>0.99979997999599901</c:v>
                </c:pt>
                <c:pt idx="199">
                  <c:v>0.99994999874993751</c:v>
                </c:pt>
                <c:pt idx="200">
                  <c:v>1</c:v>
                </c:pt>
              </c:numCache>
            </c:numRef>
          </c:xVal>
          <c:yVal>
            <c:numRef>
              <c:f>'deltau=f(cosfi)'!$I$2:$I$202</c:f>
              <c:numCache>
                <c:formatCode>0.00%</c:formatCode>
                <c:ptCount val="201"/>
                <c:pt idx="0">
                  <c:v>-1.9920574595097041E-2</c:v>
                </c:pt>
                <c:pt idx="1">
                  <c:v>-1.9003397592193761E-2</c:v>
                </c:pt>
                <c:pt idx="2">
                  <c:v>-1.8084232034050744E-2</c:v>
                </c:pt>
                <c:pt idx="3">
                  <c:v>-1.7163077076571408E-2</c:v>
                </c:pt>
                <c:pt idx="4">
                  <c:v>-1.6239931274888764E-2</c:v>
                </c:pt>
                <c:pt idx="5">
                  <c:v>-1.5314792581137401E-2</c:v>
                </c:pt>
                <c:pt idx="6">
                  <c:v>-1.4387658341312302E-2</c:v>
                </c:pt>
                <c:pt idx="7">
                  <c:v>-1.3458525291203406E-2</c:v>
                </c:pt>
                <c:pt idx="8">
                  <c:v>-1.2527389551391455E-2</c:v>
                </c:pt>
                <c:pt idx="9">
                  <c:v>-1.1594246621287328E-2</c:v>
                </c:pt>
                <c:pt idx="10">
                  <c:v>-1.0659091372193553E-2</c:v>
                </c:pt>
                <c:pt idx="11">
                  <c:v>-9.7219180393629222E-3</c:v>
                </c:pt>
                <c:pt idx="12">
                  <c:v>-8.782720213025506E-3</c:v>
                </c:pt>
                <c:pt idx="13">
                  <c:v>-7.841490828351113E-3</c:v>
                </c:pt>
                <c:pt idx="14">
                  <c:v>-6.8982221543102719E-3</c:v>
                </c:pt>
                <c:pt idx="15">
                  <c:v>-5.9529057813921191E-3</c:v>
                </c:pt>
                <c:pt idx="16">
                  <c:v>-5.0055326081329225E-3</c:v>
                </c:pt>
                <c:pt idx="17">
                  <c:v>-4.0560928264039321E-3</c:v>
                </c:pt>
                <c:pt idx="18">
                  <c:v>-3.1045759054016357E-3</c:v>
                </c:pt>
                <c:pt idx="19">
                  <c:v>-2.1509705742778678E-3</c:v>
                </c:pt>
                <c:pt idx="20">
                  <c:v>-1.195264803340768E-3</c:v>
                </c:pt>
                <c:pt idx="21">
                  <c:v>-2.3744578375084488E-4</c:v>
                </c:pt>
                <c:pt idx="22">
                  <c:v>7.2250009437101659E-4</c:v>
                </c:pt>
                <c:pt idx="23">
                  <c:v>1.6845872655147118E-3</c:v>
                </c:pt>
                <c:pt idx="24">
                  <c:v>2.648831014131122E-3</c:v>
                </c:pt>
                <c:pt idx="25">
                  <c:v>3.6152475018707609E-3</c:v>
                </c:pt>
                <c:pt idx="26">
                  <c:v>4.5838537968306246E-3</c:v>
                </c:pt>
                <c:pt idx="27">
                  <c:v>5.554667904940456E-3</c:v>
                </c:pt>
                <c:pt idx="28">
                  <c:v>6.5277088036320863E-3</c:v>
                </c:pt>
                <c:pt idx="29">
                  <c:v>7.502996477949336E-3</c:v>
                </c:pt>
                <c:pt idx="30">
                  <c:v>8.4805519592711636E-3</c:v>
                </c:pt>
                <c:pt idx="31">
                  <c:v>9.4603973668372365E-3</c:v>
                </c:pt>
                <c:pt idx="32">
                  <c:v>1.0442555952284086E-2</c:v>
                </c:pt>
                <c:pt idx="33">
                  <c:v>1.1427052147419998E-2</c:v>
                </c:pt>
                <c:pt idx="34">
                  <c:v>1.2413911615489959E-2</c:v>
                </c:pt>
                <c:pt idx="35">
                  <c:v>1.3403161306207056E-2</c:v>
                </c:pt>
                <c:pt idx="36">
                  <c:v>1.4394829514855058E-2</c:v>
                </c:pt>
                <c:pt idx="37">
                  <c:v>1.5388945945798248E-2</c:v>
                </c:pt>
                <c:pt idx="38">
                  <c:v>1.6385541780769907E-2</c:v>
                </c:pt>
                <c:pt idx="39">
                  <c:v>1.7384649752350115E-2</c:v>
                </c:pt>
                <c:pt idx="40">
                  <c:v>1.8386304223087728E-2</c:v>
                </c:pt>
                <c:pt idx="41">
                  <c:v>1.9390541270771298E-2</c:v>
                </c:pt>
                <c:pt idx="42">
                  <c:v>2.0397398780409377E-2</c:v>
                </c:pt>
                <c:pt idx="43">
                  <c:v>2.140691654354418E-2</c:v>
                </c:pt>
                <c:pt idx="44">
                  <c:v>2.2419136365593853E-2</c:v>
                </c:pt>
                <c:pt idx="45">
                  <c:v>2.343410218199975E-2</c:v>
                </c:pt>
                <c:pt idx="46">
                  <c:v>2.4451860184047255E-2</c:v>
                </c:pt>
                <c:pt idx="47">
                  <c:v>2.5472458955333423E-2</c:v>
                </c:pt>
                <c:pt idx="48">
                  <c:v>2.6495949619974608E-2</c:v>
                </c:pt>
                <c:pt idx="49">
                  <c:v>2.7522386003784025E-2</c:v>
                </c:pt>
                <c:pt idx="50">
                  <c:v>2.8551824809806503E-2</c:v>
                </c:pt>
                <c:pt idx="51">
                  <c:v>2.9584325809778159E-2</c:v>
                </c:pt>
                <c:pt idx="52">
                  <c:v>3.0619952053287353E-2</c:v>
                </c:pt>
                <c:pt idx="53">
                  <c:v>3.1658770096654049E-2</c:v>
                </c:pt>
                <c:pt idx="54">
                  <c:v>3.2700850253824298E-2</c:v>
                </c:pt>
                <c:pt idx="55">
                  <c:v>3.3746266871901749E-2</c:v>
                </c:pt>
                <c:pt idx="56">
                  <c:v>3.4795098634317387E-2</c:v>
                </c:pt>
                <c:pt idx="57">
                  <c:v>3.5847428895083057E-2</c:v>
                </c:pt>
                <c:pt idx="58">
                  <c:v>3.6903346048096523E-2</c:v>
                </c:pt>
                <c:pt idx="59">
                  <c:v>3.7962943936080469E-2</c:v>
                </c:pt>
                <c:pt idx="60">
                  <c:v>3.902632230446744E-2</c:v>
                </c:pt>
                <c:pt idx="61">
                  <c:v>4.0093587306406914E-2</c:v>
                </c:pt>
                <c:pt idx="62">
                  <c:v>4.1164852066103881E-2</c:v>
                </c:pt>
                <c:pt idx="63">
                  <c:v>4.2240237308935058E-2</c:v>
                </c:pt>
                <c:pt idx="64">
                  <c:v>4.3319872068277705E-2</c:v>
                </c:pt>
                <c:pt idx="65">
                  <c:v>4.44038944807865E-2</c:v>
                </c:pt>
                <c:pt idx="66">
                  <c:v>4.5492452684041895E-2</c:v>
                </c:pt>
                <c:pt idx="67">
                  <c:v>4.6585705833166922E-2</c:v>
                </c:pt>
                <c:pt idx="68">
                  <c:v>4.7683825256293444E-2</c:v>
                </c:pt>
                <c:pt idx="69">
                  <c:v>4.8786995772817525E-2</c:v>
                </c:pt>
                <c:pt idx="70">
                  <c:v>4.9895417203430402E-2</c:v>
                </c:pt>
                <c:pt idx="71">
                  <c:v>5.1009306107228175E-2</c:v>
                </c:pt>
                <c:pt idx="72">
                  <c:v>5.2128897789165983E-2</c:v>
                </c:pt>
                <c:pt idx="73">
                  <c:v>5.3254448631233395E-2</c:v>
                </c:pt>
                <c:pt idx="74">
                  <c:v>5.4386238813670919E-2</c:v>
                </c:pt>
                <c:pt idx="75">
                  <c:v>5.5524575509256061E-2</c:v>
                </c:pt>
                <c:pt idx="76">
                  <c:v>5.6669796655455164E-2</c:v>
                </c:pt>
                <c:pt idx="77">
                  <c:v>5.7822275437874181E-2</c:v>
                </c:pt>
                <c:pt idx="78">
                  <c:v>5.8982425656515271E-2</c:v>
                </c:pt>
                <c:pt idx="79">
                  <c:v>6.0150708197545172E-2</c:v>
                </c:pt>
                <c:pt idx="80">
                  <c:v>6.1327638902986849E-2</c:v>
                </c:pt>
                <c:pt idx="81">
                  <c:v>6.2513798226929235E-2</c:v>
                </c:pt>
                <c:pt idx="82">
                  <c:v>6.3709843201529184E-2</c:v>
                </c:pt>
                <c:pt idx="83">
                  <c:v>6.4916522427720114E-2</c:v>
                </c:pt>
                <c:pt idx="84">
                  <c:v>6.6134695083102601E-2</c:v>
                </c:pt>
                <c:pt idx="85">
                  <c:v>6.7365355349462891E-2</c:v>
                </c:pt>
                <c:pt idx="86">
                  <c:v>6.8609664281268704E-2</c:v>
                </c:pt>
                <c:pt idx="87">
                  <c:v>6.9868992093964827E-2</c:v>
                </c:pt>
                <c:pt idx="88">
                  <c:v>7.1144975373629848E-2</c:v>
                </c:pt>
                <c:pt idx="89">
                  <c:v>7.2439596208666468E-2</c:v>
                </c:pt>
                <c:pt idx="90">
                  <c:v>7.3755294496722371E-2</c:v>
                </c:pt>
                <c:pt idx="91">
                  <c:v>7.5095132226841874E-2</c:v>
                </c:pt>
                <c:pt idx="92">
                  <c:v>7.6463042610000392E-2</c:v>
                </c:pt>
                <c:pt idx="93">
                  <c:v>7.7864224778945029E-2</c:v>
                </c:pt>
                <c:pt idx="94">
                  <c:v>7.9305804030047305E-2</c:v>
                </c:pt>
                <c:pt idx="95">
                  <c:v>8.0798015674470675E-2</c:v>
                </c:pt>
                <c:pt idx="96">
                  <c:v>8.2356532917878075E-2</c:v>
                </c:pt>
                <c:pt idx="97">
                  <c:v>8.4007677604862857E-2</c:v>
                </c:pt>
                <c:pt idx="98">
                  <c:v>8.5802648173012835E-2</c:v>
                </c:pt>
                <c:pt idx="99">
                  <c:v>8.7873280404514947E-2</c:v>
                </c:pt>
                <c:pt idx="100">
                  <c:v>9.1601992512499994E-2</c:v>
                </c:pt>
                <c:pt idx="101">
                  <c:v>9.3500295039927545E-2</c:v>
                </c:pt>
                <c:pt idx="102">
                  <c:v>9.3740501706757171E-2</c:v>
                </c:pt>
                <c:pt idx="103">
                  <c:v>9.3705030726119645E-2</c:v>
                </c:pt>
                <c:pt idx="104">
                  <c:v>9.3525717880201933E-2</c:v>
                </c:pt>
                <c:pt idx="105">
                  <c:v>9.3253761606591823E-2</c:v>
                </c:pt>
                <c:pt idx="106">
                  <c:v>9.2915483749882705E-2</c:v>
                </c:pt>
                <c:pt idx="107">
                  <c:v>9.2526557515737476E-2</c:v>
                </c:pt>
                <c:pt idx="108">
                  <c:v>9.2097218215319604E-2</c:v>
                </c:pt>
                <c:pt idx="109">
                  <c:v>9.1634591145000624E-2</c:v>
                </c:pt>
                <c:pt idx="110">
                  <c:v>9.1143875437527624E-2</c:v>
                </c:pt>
                <c:pt idx="111">
                  <c:v>9.0629004303876035E-2</c:v>
                </c:pt>
                <c:pt idx="112">
                  <c:v>9.0093039733090144E-2</c:v>
                </c:pt>
                <c:pt idx="113">
                  <c:v>8.9538421622817665E-2</c:v>
                </c:pt>
                <c:pt idx="114">
                  <c:v>8.8967132061461299E-2</c:v>
                </c:pt>
                <c:pt idx="115">
                  <c:v>8.8380807635099604E-2</c:v>
                </c:pt>
                <c:pt idx="116">
                  <c:v>8.7780818559177395E-2</c:v>
                </c:pt>
                <c:pt idx="117">
                  <c:v>8.7168325888162396E-2</c:v>
                </c:pt>
                <c:pt idx="118">
                  <c:v>8.654432380384082E-2</c:v>
                </c:pt>
                <c:pt idx="119">
                  <c:v>8.5909671483813288E-2</c:v>
                </c:pt>
                <c:pt idx="120">
                  <c:v>8.5265117529013154E-2</c:v>
                </c:pt>
                <c:pt idx="121">
                  <c:v>8.4611318971597321E-2</c:v>
                </c:pt>
                <c:pt idx="122">
                  <c:v>8.3948856265654723E-2</c:v>
                </c:pt>
                <c:pt idx="123">
                  <c:v>8.3278245253208316E-2</c:v>
                </c:pt>
                <c:pt idx="124">
                  <c:v>8.2599946820424833E-2</c:v>
                </c:pt>
                <c:pt idx="125">
                  <c:v>8.1914374767306439E-2</c:v>
                </c:pt>
                <c:pt idx="126">
                  <c:v>8.1221902279459079E-2</c:v>
                </c:pt>
                <c:pt idx="127">
                  <c:v>8.0522867294349099E-2</c:v>
                </c:pt>
                <c:pt idx="128">
                  <c:v>7.9817576984754002E-2</c:v>
                </c:pt>
                <c:pt idx="129">
                  <c:v>7.9106311530914325E-2</c:v>
                </c:pt>
                <c:pt idx="130">
                  <c:v>7.8389327314819596E-2</c:v>
                </c:pt>
                <c:pt idx="131">
                  <c:v>7.766685964142496E-2</c:v>
                </c:pt>
                <c:pt idx="132">
                  <c:v>7.6939125069826558E-2</c:v>
                </c:pt>
                <c:pt idx="133">
                  <c:v>7.620632342071558E-2</c:v>
                </c:pt>
                <c:pt idx="134">
                  <c:v>7.5468639513488117E-2</c:v>
                </c:pt>
                <c:pt idx="135">
                  <c:v>7.4726244676275991E-2</c:v>
                </c:pt>
                <c:pt idx="136">
                  <c:v>7.3979298064202309E-2</c:v>
                </c:pt>
                <c:pt idx="137">
                  <c:v>7.3227947814847455E-2</c:v>
                </c:pt>
                <c:pt idx="138">
                  <c:v>7.2472332064866127E-2</c:v>
                </c:pt>
                <c:pt idx="139">
                  <c:v>7.1712579847635585E-2</c:v>
                </c:pt>
                <c:pt idx="140">
                  <c:v>7.0948811888532567E-2</c:v>
                </c:pt>
                <c:pt idx="141">
                  <c:v>7.0181141311762021E-2</c:v>
                </c:pt>
                <c:pt idx="142">
                  <c:v>6.9409674270473468E-2</c:v>
                </c:pt>
                <c:pt idx="143">
                  <c:v>6.8634510510099431E-2</c:v>
                </c:pt>
                <c:pt idx="144">
                  <c:v>6.7855743873362628E-2</c:v>
                </c:pt>
                <c:pt idx="145">
                  <c:v>6.7073462754160762E-2</c:v>
                </c:pt>
                <c:pt idx="146">
                  <c:v>6.6287750506505691E-2</c:v>
                </c:pt>
                <c:pt idx="147">
                  <c:v>6.5498685813828464E-2</c:v>
                </c:pt>
                <c:pt idx="148">
                  <c:v>6.4706343023232651E-2</c:v>
                </c:pt>
                <c:pt idx="149">
                  <c:v>6.3910792448664336E-2</c:v>
                </c:pt>
                <c:pt idx="150">
                  <c:v>6.31121006464435E-2</c:v>
                </c:pt>
                <c:pt idx="151">
                  <c:v>6.2310330666158473E-2</c:v>
                </c:pt>
                <c:pt idx="152">
                  <c:v>6.150554227954539E-2</c:v>
                </c:pt>
                <c:pt idx="153">
                  <c:v>6.0697792189649075E-2</c:v>
                </c:pt>
                <c:pt idx="154">
                  <c:v>5.9887134222282742E-2</c:v>
                </c:pt>
                <c:pt idx="155">
                  <c:v>5.907361950156275E-2</c:v>
                </c:pt>
                <c:pt idx="156">
                  <c:v>5.8257296611086147E-2</c:v>
                </c:pt>
                <c:pt idx="157">
                  <c:v>5.7438211742138236E-2</c:v>
                </c:pt>
                <c:pt idx="158">
                  <c:v>5.6616408830160544E-2</c:v>
                </c:pt>
                <c:pt idx="159">
                  <c:v>5.5791929680571124E-2</c:v>
                </c:pt>
                <c:pt idx="160">
                  <c:v>5.4964814084912182E-2</c:v>
                </c:pt>
                <c:pt idx="161">
                  <c:v>5.4135099928192307E-2</c:v>
                </c:pt>
                <c:pt idx="162">
                  <c:v>5.3302823288200012E-2</c:v>
                </c:pt>
                <c:pt idx="163">
                  <c:v>5.2468018527484173E-2</c:v>
                </c:pt>
                <c:pt idx="164">
                  <c:v>5.1630718378624853E-2</c:v>
                </c:pt>
                <c:pt idx="165">
                  <c:v>5.0790954023355352E-2</c:v>
                </c:pt>
                <c:pt idx="166">
                  <c:v>4.9948755166039964E-2</c:v>
                </c:pt>
                <c:pt idx="167">
                  <c:v>4.9104150101962417E-2</c:v>
                </c:pt>
                <c:pt idx="168">
                  <c:v>4.8257165780835831E-2</c:v>
                </c:pt>
                <c:pt idx="169">
                  <c:v>4.740782786590518E-2</c:v>
                </c:pt>
                <c:pt idx="170">
                  <c:v>4.655616078897875E-2</c:v>
                </c:pt>
                <c:pt idx="171">
                  <c:v>4.5702187801693071E-2</c:v>
                </c:pt>
                <c:pt idx="172">
                  <c:v>4.4845931023287836E-2</c:v>
                </c:pt>
                <c:pt idx="173">
                  <c:v>4.3987411485141958E-2</c:v>
                </c:pt>
                <c:pt idx="174">
                  <c:v>4.3126649172299289E-2</c:v>
                </c:pt>
                <c:pt idx="175">
                  <c:v>4.2263663062191648E-2</c:v>
                </c:pt>
                <c:pt idx="176">
                  <c:v>4.1398471160748788E-2</c:v>
                </c:pt>
                <c:pt idx="177">
                  <c:v>4.0531090536067696E-2</c:v>
                </c:pt>
                <c:pt idx="178">
                  <c:v>3.9661537349798895E-2</c:v>
                </c:pt>
                <c:pt idx="179">
                  <c:v>3.8789826886393257E-2</c:v>
                </c:pt>
                <c:pt idx="180">
                  <c:v>3.7915973580340677E-2</c:v>
                </c:pt>
                <c:pt idx="181">
                  <c:v>3.7039991041520275E-2</c:v>
                </c:pt>
                <c:pt idx="182">
                  <c:v>3.6161892078771546E-2</c:v>
                </c:pt>
                <c:pt idx="183">
                  <c:v>3.5281688721786351E-2</c:v>
                </c:pt>
                <c:pt idx="184">
                  <c:v>3.4399392241412835E-2</c:v>
                </c:pt>
                <c:pt idx="185">
                  <c:v>3.3515013168454524E-2</c:v>
                </c:pt>
                <c:pt idx="186">
                  <c:v>3.2628561311040187E-2</c:v>
                </c:pt>
                <c:pt idx="187">
                  <c:v>3.1740045770633524E-2</c:v>
                </c:pt>
                <c:pt idx="188">
                  <c:v>3.0849474956745417E-2</c:v>
                </c:pt>
                <c:pt idx="189">
                  <c:v>2.9956856600405334E-2</c:v>
                </c:pt>
                <c:pt idx="190">
                  <c:v>2.9062197766443462E-2</c:v>
                </c:pt>
                <c:pt idx="191">
                  <c:v>2.816550486462974E-2</c:v>
                </c:pt>
                <c:pt idx="192">
                  <c:v>2.7266783659711365E-2</c:v>
                </c:pt>
                <c:pt idx="193">
                  <c:v>2.6366039280385813E-2</c:v>
                </c:pt>
                <c:pt idx="194">
                  <c:v>2.5463276227242222E-2</c:v>
                </c:pt>
                <c:pt idx="195">
                  <c:v>2.4558498379699808E-2</c:v>
                </c:pt>
                <c:pt idx="196">
                  <c:v>2.3651709001968675E-2</c:v>
                </c:pt>
                <c:pt idx="197">
                  <c:v>2.2742910748053818E-2</c:v>
                </c:pt>
                <c:pt idx="198">
                  <c:v>2.1832105665820653E-2</c:v>
                </c:pt>
                <c:pt idx="199">
                  <c:v>2.0919295200136169E-2</c:v>
                </c:pt>
                <c:pt idx="200">
                  <c:v>2.0004480195097044E-2</c:v>
                </c:pt>
              </c:numCache>
            </c:numRef>
          </c:yVal>
        </c:ser>
        <c:axId val="174811008"/>
        <c:axId val="174812544"/>
      </c:scatterChart>
      <c:valAx>
        <c:axId val="174811008"/>
        <c:scaling>
          <c:orientation val="minMax"/>
        </c:scaling>
        <c:axPos val="b"/>
        <c:numFmt formatCode="General" sourceLinked="1"/>
        <c:tickLblPos val="nextTo"/>
        <c:crossAx val="174812544"/>
        <c:crosses val="autoZero"/>
        <c:crossBetween val="midCat"/>
      </c:valAx>
      <c:valAx>
        <c:axId val="174812544"/>
        <c:scaling>
          <c:orientation val="minMax"/>
        </c:scaling>
        <c:axPos val="l"/>
        <c:majorGridlines/>
        <c:numFmt formatCode="0.00%" sourceLinked="1"/>
        <c:tickLblPos val="nextTo"/>
        <c:crossAx val="1748110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title>
      <c:layout/>
    </c:title>
    <c:plotArea>
      <c:layout/>
      <c:lineChart>
        <c:grouping val="standard"/>
        <c:ser>
          <c:idx val="0"/>
          <c:order val="0"/>
          <c:tx>
            <c:v>Δu%=f(cosφ)</c:v>
          </c:tx>
          <c:marker>
            <c:symbol val="none"/>
          </c:marker>
          <c:cat>
            <c:numRef>
              <c:f>'deltau=f(cosfi)'!$E$2:$E$202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0.99</c:v>
                </c:pt>
                <c:pt idx="102">
                  <c:v>0.98</c:v>
                </c:pt>
                <c:pt idx="103">
                  <c:v>0.97</c:v>
                </c:pt>
                <c:pt idx="104">
                  <c:v>0.96</c:v>
                </c:pt>
                <c:pt idx="105">
                  <c:v>0.95</c:v>
                </c:pt>
                <c:pt idx="106">
                  <c:v>0.94</c:v>
                </c:pt>
                <c:pt idx="107">
                  <c:v>0.93</c:v>
                </c:pt>
                <c:pt idx="108">
                  <c:v>0.92</c:v>
                </c:pt>
                <c:pt idx="109">
                  <c:v>0.91</c:v>
                </c:pt>
                <c:pt idx="110">
                  <c:v>0.9</c:v>
                </c:pt>
                <c:pt idx="111">
                  <c:v>0.89</c:v>
                </c:pt>
                <c:pt idx="112">
                  <c:v>0.88</c:v>
                </c:pt>
                <c:pt idx="113">
                  <c:v>0.87</c:v>
                </c:pt>
                <c:pt idx="114">
                  <c:v>0.86</c:v>
                </c:pt>
                <c:pt idx="115">
                  <c:v>0.85</c:v>
                </c:pt>
                <c:pt idx="116">
                  <c:v>0.84</c:v>
                </c:pt>
                <c:pt idx="117">
                  <c:v>0.83</c:v>
                </c:pt>
                <c:pt idx="118">
                  <c:v>0.82</c:v>
                </c:pt>
                <c:pt idx="119">
                  <c:v>0.81</c:v>
                </c:pt>
                <c:pt idx="120">
                  <c:v>0.8</c:v>
                </c:pt>
                <c:pt idx="121">
                  <c:v>0.79</c:v>
                </c:pt>
                <c:pt idx="122">
                  <c:v>0.78</c:v>
                </c:pt>
                <c:pt idx="123">
                  <c:v>0.77</c:v>
                </c:pt>
                <c:pt idx="124">
                  <c:v>0.76</c:v>
                </c:pt>
                <c:pt idx="125">
                  <c:v>0.75</c:v>
                </c:pt>
                <c:pt idx="126">
                  <c:v>0.74</c:v>
                </c:pt>
                <c:pt idx="127">
                  <c:v>0.73</c:v>
                </c:pt>
                <c:pt idx="128">
                  <c:v>0.72</c:v>
                </c:pt>
                <c:pt idx="129">
                  <c:v>0.71</c:v>
                </c:pt>
                <c:pt idx="130">
                  <c:v>0.7</c:v>
                </c:pt>
                <c:pt idx="131">
                  <c:v>0.69</c:v>
                </c:pt>
                <c:pt idx="132">
                  <c:v>0.68</c:v>
                </c:pt>
                <c:pt idx="133">
                  <c:v>0.67</c:v>
                </c:pt>
                <c:pt idx="134">
                  <c:v>0.66</c:v>
                </c:pt>
                <c:pt idx="135">
                  <c:v>0.65</c:v>
                </c:pt>
                <c:pt idx="136">
                  <c:v>0.64</c:v>
                </c:pt>
                <c:pt idx="137">
                  <c:v>0.63</c:v>
                </c:pt>
                <c:pt idx="138">
                  <c:v>0.62</c:v>
                </c:pt>
                <c:pt idx="139">
                  <c:v>0.61</c:v>
                </c:pt>
                <c:pt idx="140">
                  <c:v>0.6</c:v>
                </c:pt>
                <c:pt idx="141">
                  <c:v>0.59</c:v>
                </c:pt>
                <c:pt idx="142">
                  <c:v>0.57999999999999996</c:v>
                </c:pt>
                <c:pt idx="143">
                  <c:v>0.56999999999999995</c:v>
                </c:pt>
                <c:pt idx="144">
                  <c:v>0.56000000000000005</c:v>
                </c:pt>
                <c:pt idx="145">
                  <c:v>0.55000000000000004</c:v>
                </c:pt>
                <c:pt idx="146">
                  <c:v>0.54</c:v>
                </c:pt>
                <c:pt idx="147">
                  <c:v>0.53</c:v>
                </c:pt>
                <c:pt idx="148">
                  <c:v>0.52</c:v>
                </c:pt>
                <c:pt idx="149">
                  <c:v>0.51</c:v>
                </c:pt>
                <c:pt idx="150">
                  <c:v>0.5</c:v>
                </c:pt>
                <c:pt idx="151">
                  <c:v>0.49</c:v>
                </c:pt>
                <c:pt idx="152">
                  <c:v>0.48</c:v>
                </c:pt>
                <c:pt idx="153">
                  <c:v>0.47</c:v>
                </c:pt>
                <c:pt idx="154">
                  <c:v>0.46</c:v>
                </c:pt>
                <c:pt idx="155">
                  <c:v>0.45</c:v>
                </c:pt>
                <c:pt idx="156">
                  <c:v>0.44</c:v>
                </c:pt>
                <c:pt idx="157">
                  <c:v>0.42999999999999899</c:v>
                </c:pt>
                <c:pt idx="158">
                  <c:v>0.41999999999999899</c:v>
                </c:pt>
                <c:pt idx="159">
                  <c:v>0.40999999999999898</c:v>
                </c:pt>
                <c:pt idx="160">
                  <c:v>0.39999999999999902</c:v>
                </c:pt>
                <c:pt idx="161">
                  <c:v>0.38999999999999901</c:v>
                </c:pt>
                <c:pt idx="162">
                  <c:v>0.37999999999999901</c:v>
                </c:pt>
                <c:pt idx="163">
                  <c:v>0.369999999999999</c:v>
                </c:pt>
                <c:pt idx="164">
                  <c:v>0.35999999999999899</c:v>
                </c:pt>
                <c:pt idx="165">
                  <c:v>0.34999999999999898</c:v>
                </c:pt>
                <c:pt idx="166">
                  <c:v>0.33999999999999903</c:v>
                </c:pt>
                <c:pt idx="167">
                  <c:v>0.32999999999999902</c:v>
                </c:pt>
                <c:pt idx="168">
                  <c:v>0.31999999999999901</c:v>
                </c:pt>
                <c:pt idx="169">
                  <c:v>0.309999999999999</c:v>
                </c:pt>
                <c:pt idx="170">
                  <c:v>0.29999999999999899</c:v>
                </c:pt>
                <c:pt idx="171">
                  <c:v>0.28999999999999898</c:v>
                </c:pt>
                <c:pt idx="172">
                  <c:v>0.27999999999999903</c:v>
                </c:pt>
                <c:pt idx="173">
                  <c:v>0.26999999999999902</c:v>
                </c:pt>
                <c:pt idx="174">
                  <c:v>0.25999999999999901</c:v>
                </c:pt>
                <c:pt idx="175">
                  <c:v>0.249999999999999</c:v>
                </c:pt>
                <c:pt idx="176">
                  <c:v>0.23999999999999899</c:v>
                </c:pt>
                <c:pt idx="177">
                  <c:v>0.22999999999999901</c:v>
                </c:pt>
                <c:pt idx="178">
                  <c:v>0.219999999999999</c:v>
                </c:pt>
                <c:pt idx="179">
                  <c:v>0.20999999999999899</c:v>
                </c:pt>
                <c:pt idx="180">
                  <c:v>0.19999999999999901</c:v>
                </c:pt>
                <c:pt idx="181">
                  <c:v>0.189999999999999</c:v>
                </c:pt>
                <c:pt idx="182">
                  <c:v>0.17999999999999899</c:v>
                </c:pt>
                <c:pt idx="183">
                  <c:v>0.16999999999999901</c:v>
                </c:pt>
                <c:pt idx="184">
                  <c:v>0.159999999999999</c:v>
                </c:pt>
                <c:pt idx="185">
                  <c:v>0.149999999999999</c:v>
                </c:pt>
                <c:pt idx="186">
                  <c:v>0.13999999999999899</c:v>
                </c:pt>
                <c:pt idx="187">
                  <c:v>0.12999999999999901</c:v>
                </c:pt>
                <c:pt idx="188">
                  <c:v>0.119999999999999</c:v>
                </c:pt>
                <c:pt idx="189">
                  <c:v>0.109999999999999</c:v>
                </c:pt>
                <c:pt idx="190">
                  <c:v>9.9999999999999006E-2</c:v>
                </c:pt>
                <c:pt idx="191">
                  <c:v>8.9999999999998997E-2</c:v>
                </c:pt>
                <c:pt idx="192">
                  <c:v>7.9999999999999002E-2</c:v>
                </c:pt>
                <c:pt idx="193">
                  <c:v>6.9999999999998994E-2</c:v>
                </c:pt>
                <c:pt idx="194">
                  <c:v>5.9999999999999103E-2</c:v>
                </c:pt>
                <c:pt idx="195">
                  <c:v>4.9999999999998997E-2</c:v>
                </c:pt>
                <c:pt idx="196">
                  <c:v>3.9999999999999002E-2</c:v>
                </c:pt>
                <c:pt idx="197">
                  <c:v>2.9999999999999E-2</c:v>
                </c:pt>
                <c:pt idx="198">
                  <c:v>1.9999999999999001E-2</c:v>
                </c:pt>
                <c:pt idx="199">
                  <c:v>9.9999999999990097E-3</c:v>
                </c:pt>
                <c:pt idx="200">
                  <c:v>0</c:v>
                </c:pt>
              </c:numCache>
            </c:numRef>
          </c:cat>
          <c:val>
            <c:numRef>
              <c:f>'deltau=f(cosfi)'!$I$2:$I$202</c:f>
              <c:numCache>
                <c:formatCode>0.00%</c:formatCode>
                <c:ptCount val="201"/>
                <c:pt idx="0">
                  <c:v>-1.9920574595097041E-2</c:v>
                </c:pt>
                <c:pt idx="1">
                  <c:v>-1.9003397592193761E-2</c:v>
                </c:pt>
                <c:pt idx="2">
                  <c:v>-1.8084232034050744E-2</c:v>
                </c:pt>
                <c:pt idx="3">
                  <c:v>-1.7163077076571408E-2</c:v>
                </c:pt>
                <c:pt idx="4">
                  <c:v>-1.6239931274888764E-2</c:v>
                </c:pt>
                <c:pt idx="5">
                  <c:v>-1.5314792581137401E-2</c:v>
                </c:pt>
                <c:pt idx="6">
                  <c:v>-1.4387658341312302E-2</c:v>
                </c:pt>
                <c:pt idx="7">
                  <c:v>-1.3458525291203406E-2</c:v>
                </c:pt>
                <c:pt idx="8">
                  <c:v>-1.2527389551391455E-2</c:v>
                </c:pt>
                <c:pt idx="9">
                  <c:v>-1.1594246621287328E-2</c:v>
                </c:pt>
                <c:pt idx="10">
                  <c:v>-1.0659091372193553E-2</c:v>
                </c:pt>
                <c:pt idx="11">
                  <c:v>-9.7219180393629222E-3</c:v>
                </c:pt>
                <c:pt idx="12">
                  <c:v>-8.782720213025506E-3</c:v>
                </c:pt>
                <c:pt idx="13">
                  <c:v>-7.841490828351113E-3</c:v>
                </c:pt>
                <c:pt idx="14">
                  <c:v>-6.8982221543102719E-3</c:v>
                </c:pt>
                <c:pt idx="15">
                  <c:v>-5.9529057813921191E-3</c:v>
                </c:pt>
                <c:pt idx="16">
                  <c:v>-5.0055326081329225E-3</c:v>
                </c:pt>
                <c:pt idx="17">
                  <c:v>-4.0560928264039321E-3</c:v>
                </c:pt>
                <c:pt idx="18">
                  <c:v>-3.1045759054016357E-3</c:v>
                </c:pt>
                <c:pt idx="19">
                  <c:v>-2.1509705742778678E-3</c:v>
                </c:pt>
                <c:pt idx="20">
                  <c:v>-1.195264803340768E-3</c:v>
                </c:pt>
                <c:pt idx="21">
                  <c:v>-2.3744578375084488E-4</c:v>
                </c:pt>
                <c:pt idx="22">
                  <c:v>7.2250009437101659E-4</c:v>
                </c:pt>
                <c:pt idx="23">
                  <c:v>1.6845872655147118E-3</c:v>
                </c:pt>
                <c:pt idx="24">
                  <c:v>2.648831014131122E-3</c:v>
                </c:pt>
                <c:pt idx="25">
                  <c:v>3.6152475018707609E-3</c:v>
                </c:pt>
                <c:pt idx="26">
                  <c:v>4.5838537968306246E-3</c:v>
                </c:pt>
                <c:pt idx="27">
                  <c:v>5.554667904940456E-3</c:v>
                </c:pt>
                <c:pt idx="28">
                  <c:v>6.5277088036320863E-3</c:v>
                </c:pt>
                <c:pt idx="29">
                  <c:v>7.502996477949336E-3</c:v>
                </c:pt>
                <c:pt idx="30">
                  <c:v>8.4805519592711636E-3</c:v>
                </c:pt>
                <c:pt idx="31">
                  <c:v>9.4603973668372365E-3</c:v>
                </c:pt>
                <c:pt idx="32">
                  <c:v>1.0442555952284086E-2</c:v>
                </c:pt>
                <c:pt idx="33">
                  <c:v>1.1427052147419998E-2</c:v>
                </c:pt>
                <c:pt idx="34">
                  <c:v>1.2413911615489959E-2</c:v>
                </c:pt>
                <c:pt idx="35">
                  <c:v>1.3403161306207056E-2</c:v>
                </c:pt>
                <c:pt idx="36">
                  <c:v>1.4394829514855058E-2</c:v>
                </c:pt>
                <c:pt idx="37">
                  <c:v>1.5388945945798248E-2</c:v>
                </c:pt>
                <c:pt idx="38">
                  <c:v>1.6385541780769907E-2</c:v>
                </c:pt>
                <c:pt idx="39">
                  <c:v>1.7384649752350115E-2</c:v>
                </c:pt>
                <c:pt idx="40">
                  <c:v>1.8386304223087728E-2</c:v>
                </c:pt>
                <c:pt idx="41">
                  <c:v>1.9390541270771298E-2</c:v>
                </c:pt>
                <c:pt idx="42">
                  <c:v>2.0397398780409377E-2</c:v>
                </c:pt>
                <c:pt idx="43">
                  <c:v>2.140691654354418E-2</c:v>
                </c:pt>
                <c:pt idx="44">
                  <c:v>2.2419136365593853E-2</c:v>
                </c:pt>
                <c:pt idx="45">
                  <c:v>2.343410218199975E-2</c:v>
                </c:pt>
                <c:pt idx="46">
                  <c:v>2.4451860184047255E-2</c:v>
                </c:pt>
                <c:pt idx="47">
                  <c:v>2.5472458955333423E-2</c:v>
                </c:pt>
                <c:pt idx="48">
                  <c:v>2.6495949619974608E-2</c:v>
                </c:pt>
                <c:pt idx="49">
                  <c:v>2.7522386003784025E-2</c:v>
                </c:pt>
                <c:pt idx="50">
                  <c:v>2.8551824809806503E-2</c:v>
                </c:pt>
                <c:pt idx="51">
                  <c:v>2.9584325809778159E-2</c:v>
                </c:pt>
                <c:pt idx="52">
                  <c:v>3.0619952053287353E-2</c:v>
                </c:pt>
                <c:pt idx="53">
                  <c:v>3.1658770096654049E-2</c:v>
                </c:pt>
                <c:pt idx="54">
                  <c:v>3.2700850253824298E-2</c:v>
                </c:pt>
                <c:pt idx="55">
                  <c:v>3.3746266871901749E-2</c:v>
                </c:pt>
                <c:pt idx="56">
                  <c:v>3.4795098634317387E-2</c:v>
                </c:pt>
                <c:pt idx="57">
                  <c:v>3.5847428895083057E-2</c:v>
                </c:pt>
                <c:pt idx="58">
                  <c:v>3.6903346048096523E-2</c:v>
                </c:pt>
                <c:pt idx="59">
                  <c:v>3.7962943936080469E-2</c:v>
                </c:pt>
                <c:pt idx="60">
                  <c:v>3.902632230446744E-2</c:v>
                </c:pt>
                <c:pt idx="61">
                  <c:v>4.0093587306406914E-2</c:v>
                </c:pt>
                <c:pt idx="62">
                  <c:v>4.1164852066103881E-2</c:v>
                </c:pt>
                <c:pt idx="63">
                  <c:v>4.2240237308935058E-2</c:v>
                </c:pt>
                <c:pt idx="64">
                  <c:v>4.3319872068277705E-2</c:v>
                </c:pt>
                <c:pt idx="65">
                  <c:v>4.44038944807865E-2</c:v>
                </c:pt>
                <c:pt idx="66">
                  <c:v>4.5492452684041895E-2</c:v>
                </c:pt>
                <c:pt idx="67">
                  <c:v>4.6585705833166922E-2</c:v>
                </c:pt>
                <c:pt idx="68">
                  <c:v>4.7683825256293444E-2</c:v>
                </c:pt>
                <c:pt idx="69">
                  <c:v>4.8786995772817525E-2</c:v>
                </c:pt>
                <c:pt idx="70">
                  <c:v>4.9895417203430402E-2</c:v>
                </c:pt>
                <c:pt idx="71">
                  <c:v>5.1009306107228175E-2</c:v>
                </c:pt>
                <c:pt idx="72">
                  <c:v>5.2128897789165983E-2</c:v>
                </c:pt>
                <c:pt idx="73">
                  <c:v>5.3254448631233395E-2</c:v>
                </c:pt>
                <c:pt idx="74">
                  <c:v>5.4386238813670919E-2</c:v>
                </c:pt>
                <c:pt idx="75">
                  <c:v>5.5524575509256061E-2</c:v>
                </c:pt>
                <c:pt idx="76">
                  <c:v>5.6669796655455164E-2</c:v>
                </c:pt>
                <c:pt idx="77">
                  <c:v>5.7822275437874181E-2</c:v>
                </c:pt>
                <c:pt idx="78">
                  <c:v>5.8982425656515271E-2</c:v>
                </c:pt>
                <c:pt idx="79">
                  <c:v>6.0150708197545172E-2</c:v>
                </c:pt>
                <c:pt idx="80">
                  <c:v>6.1327638902986849E-2</c:v>
                </c:pt>
                <c:pt idx="81">
                  <c:v>6.2513798226929235E-2</c:v>
                </c:pt>
                <c:pt idx="82">
                  <c:v>6.3709843201529184E-2</c:v>
                </c:pt>
                <c:pt idx="83">
                  <c:v>6.4916522427720114E-2</c:v>
                </c:pt>
                <c:pt idx="84">
                  <c:v>6.6134695083102601E-2</c:v>
                </c:pt>
                <c:pt idx="85">
                  <c:v>6.7365355349462891E-2</c:v>
                </c:pt>
                <c:pt idx="86">
                  <c:v>6.8609664281268704E-2</c:v>
                </c:pt>
                <c:pt idx="87">
                  <c:v>6.9868992093964827E-2</c:v>
                </c:pt>
                <c:pt idx="88">
                  <c:v>7.1144975373629848E-2</c:v>
                </c:pt>
                <c:pt idx="89">
                  <c:v>7.2439596208666468E-2</c:v>
                </c:pt>
                <c:pt idx="90">
                  <c:v>7.3755294496722371E-2</c:v>
                </c:pt>
                <c:pt idx="91">
                  <c:v>7.5095132226841874E-2</c:v>
                </c:pt>
                <c:pt idx="92">
                  <c:v>7.6463042610000392E-2</c:v>
                </c:pt>
                <c:pt idx="93">
                  <c:v>7.7864224778945029E-2</c:v>
                </c:pt>
                <c:pt idx="94">
                  <c:v>7.9305804030047305E-2</c:v>
                </c:pt>
                <c:pt idx="95">
                  <c:v>8.0798015674470675E-2</c:v>
                </c:pt>
                <c:pt idx="96">
                  <c:v>8.2356532917878075E-2</c:v>
                </c:pt>
                <c:pt idx="97">
                  <c:v>8.4007677604862857E-2</c:v>
                </c:pt>
                <c:pt idx="98">
                  <c:v>8.5802648173012835E-2</c:v>
                </c:pt>
                <c:pt idx="99">
                  <c:v>8.7873280404514947E-2</c:v>
                </c:pt>
                <c:pt idx="100">
                  <c:v>9.1601992512499994E-2</c:v>
                </c:pt>
                <c:pt idx="101">
                  <c:v>9.3500295039927545E-2</c:v>
                </c:pt>
                <c:pt idx="102">
                  <c:v>9.3740501706757171E-2</c:v>
                </c:pt>
                <c:pt idx="103">
                  <c:v>9.3705030726119645E-2</c:v>
                </c:pt>
                <c:pt idx="104">
                  <c:v>9.3525717880201933E-2</c:v>
                </c:pt>
                <c:pt idx="105">
                  <c:v>9.3253761606591823E-2</c:v>
                </c:pt>
                <c:pt idx="106">
                  <c:v>9.2915483749882705E-2</c:v>
                </c:pt>
                <c:pt idx="107">
                  <c:v>9.2526557515737476E-2</c:v>
                </c:pt>
                <c:pt idx="108">
                  <c:v>9.2097218215319604E-2</c:v>
                </c:pt>
                <c:pt idx="109">
                  <c:v>9.1634591145000624E-2</c:v>
                </c:pt>
                <c:pt idx="110">
                  <c:v>9.1143875437527624E-2</c:v>
                </c:pt>
                <c:pt idx="111">
                  <c:v>9.0629004303876035E-2</c:v>
                </c:pt>
                <c:pt idx="112">
                  <c:v>9.0093039733090144E-2</c:v>
                </c:pt>
                <c:pt idx="113">
                  <c:v>8.9538421622817665E-2</c:v>
                </c:pt>
                <c:pt idx="114">
                  <c:v>8.8967132061461299E-2</c:v>
                </c:pt>
                <c:pt idx="115">
                  <c:v>8.8380807635099604E-2</c:v>
                </c:pt>
                <c:pt idx="116">
                  <c:v>8.7780818559177395E-2</c:v>
                </c:pt>
                <c:pt idx="117">
                  <c:v>8.7168325888162396E-2</c:v>
                </c:pt>
                <c:pt idx="118">
                  <c:v>8.654432380384082E-2</c:v>
                </c:pt>
                <c:pt idx="119">
                  <c:v>8.5909671483813288E-2</c:v>
                </c:pt>
                <c:pt idx="120">
                  <c:v>8.5265117529013154E-2</c:v>
                </c:pt>
                <c:pt idx="121">
                  <c:v>8.4611318971597321E-2</c:v>
                </c:pt>
                <c:pt idx="122">
                  <c:v>8.3948856265654723E-2</c:v>
                </c:pt>
                <c:pt idx="123">
                  <c:v>8.3278245253208316E-2</c:v>
                </c:pt>
                <c:pt idx="124">
                  <c:v>8.2599946820424833E-2</c:v>
                </c:pt>
                <c:pt idx="125">
                  <c:v>8.1914374767306439E-2</c:v>
                </c:pt>
                <c:pt idx="126">
                  <c:v>8.1221902279459079E-2</c:v>
                </c:pt>
                <c:pt idx="127">
                  <c:v>8.0522867294349099E-2</c:v>
                </c:pt>
                <c:pt idx="128">
                  <c:v>7.9817576984754002E-2</c:v>
                </c:pt>
                <c:pt idx="129">
                  <c:v>7.9106311530914325E-2</c:v>
                </c:pt>
                <c:pt idx="130">
                  <c:v>7.8389327314819596E-2</c:v>
                </c:pt>
                <c:pt idx="131">
                  <c:v>7.766685964142496E-2</c:v>
                </c:pt>
                <c:pt idx="132">
                  <c:v>7.6939125069826558E-2</c:v>
                </c:pt>
                <c:pt idx="133">
                  <c:v>7.620632342071558E-2</c:v>
                </c:pt>
                <c:pt idx="134">
                  <c:v>7.5468639513488117E-2</c:v>
                </c:pt>
                <c:pt idx="135">
                  <c:v>7.4726244676275991E-2</c:v>
                </c:pt>
                <c:pt idx="136">
                  <c:v>7.3979298064202309E-2</c:v>
                </c:pt>
                <c:pt idx="137">
                  <c:v>7.3227947814847455E-2</c:v>
                </c:pt>
                <c:pt idx="138">
                  <c:v>7.2472332064866127E-2</c:v>
                </c:pt>
                <c:pt idx="139">
                  <c:v>7.1712579847635585E-2</c:v>
                </c:pt>
                <c:pt idx="140">
                  <c:v>7.0948811888532567E-2</c:v>
                </c:pt>
                <c:pt idx="141">
                  <c:v>7.0181141311762021E-2</c:v>
                </c:pt>
                <c:pt idx="142">
                  <c:v>6.9409674270473468E-2</c:v>
                </c:pt>
                <c:pt idx="143">
                  <c:v>6.8634510510099431E-2</c:v>
                </c:pt>
                <c:pt idx="144">
                  <c:v>6.7855743873362628E-2</c:v>
                </c:pt>
                <c:pt idx="145">
                  <c:v>6.7073462754160762E-2</c:v>
                </c:pt>
                <c:pt idx="146">
                  <c:v>6.6287750506505691E-2</c:v>
                </c:pt>
                <c:pt idx="147">
                  <c:v>6.5498685813828464E-2</c:v>
                </c:pt>
                <c:pt idx="148">
                  <c:v>6.4706343023232651E-2</c:v>
                </c:pt>
                <c:pt idx="149">
                  <c:v>6.3910792448664336E-2</c:v>
                </c:pt>
                <c:pt idx="150">
                  <c:v>6.31121006464435E-2</c:v>
                </c:pt>
                <c:pt idx="151">
                  <c:v>6.2310330666158473E-2</c:v>
                </c:pt>
                <c:pt idx="152">
                  <c:v>6.150554227954539E-2</c:v>
                </c:pt>
                <c:pt idx="153">
                  <c:v>6.0697792189649075E-2</c:v>
                </c:pt>
                <c:pt idx="154">
                  <c:v>5.9887134222282742E-2</c:v>
                </c:pt>
                <c:pt idx="155">
                  <c:v>5.907361950156275E-2</c:v>
                </c:pt>
                <c:pt idx="156">
                  <c:v>5.8257296611086147E-2</c:v>
                </c:pt>
                <c:pt idx="157">
                  <c:v>5.7438211742138236E-2</c:v>
                </c:pt>
                <c:pt idx="158">
                  <c:v>5.6616408830160544E-2</c:v>
                </c:pt>
                <c:pt idx="159">
                  <c:v>5.5791929680571124E-2</c:v>
                </c:pt>
                <c:pt idx="160">
                  <c:v>5.4964814084912182E-2</c:v>
                </c:pt>
                <c:pt idx="161">
                  <c:v>5.4135099928192307E-2</c:v>
                </c:pt>
                <c:pt idx="162">
                  <c:v>5.3302823288200012E-2</c:v>
                </c:pt>
                <c:pt idx="163">
                  <c:v>5.2468018527484173E-2</c:v>
                </c:pt>
                <c:pt idx="164">
                  <c:v>5.1630718378624853E-2</c:v>
                </c:pt>
                <c:pt idx="165">
                  <c:v>5.0790954023355352E-2</c:v>
                </c:pt>
                <c:pt idx="166">
                  <c:v>4.9948755166039964E-2</c:v>
                </c:pt>
                <c:pt idx="167">
                  <c:v>4.9104150101962417E-2</c:v>
                </c:pt>
                <c:pt idx="168">
                  <c:v>4.8257165780835831E-2</c:v>
                </c:pt>
                <c:pt idx="169">
                  <c:v>4.740782786590518E-2</c:v>
                </c:pt>
                <c:pt idx="170">
                  <c:v>4.655616078897875E-2</c:v>
                </c:pt>
                <c:pt idx="171">
                  <c:v>4.5702187801693071E-2</c:v>
                </c:pt>
                <c:pt idx="172">
                  <c:v>4.4845931023287836E-2</c:v>
                </c:pt>
                <c:pt idx="173">
                  <c:v>4.3987411485141958E-2</c:v>
                </c:pt>
                <c:pt idx="174">
                  <c:v>4.3126649172299289E-2</c:v>
                </c:pt>
                <c:pt idx="175">
                  <c:v>4.2263663062191648E-2</c:v>
                </c:pt>
                <c:pt idx="176">
                  <c:v>4.1398471160748788E-2</c:v>
                </c:pt>
                <c:pt idx="177">
                  <c:v>4.0531090536067696E-2</c:v>
                </c:pt>
                <c:pt idx="178">
                  <c:v>3.9661537349798895E-2</c:v>
                </c:pt>
                <c:pt idx="179">
                  <c:v>3.8789826886393257E-2</c:v>
                </c:pt>
                <c:pt idx="180">
                  <c:v>3.7915973580340677E-2</c:v>
                </c:pt>
                <c:pt idx="181">
                  <c:v>3.7039991041520275E-2</c:v>
                </c:pt>
                <c:pt idx="182">
                  <c:v>3.6161892078771546E-2</c:v>
                </c:pt>
                <c:pt idx="183">
                  <c:v>3.5281688721786351E-2</c:v>
                </c:pt>
                <c:pt idx="184">
                  <c:v>3.4399392241412835E-2</c:v>
                </c:pt>
                <c:pt idx="185">
                  <c:v>3.3515013168454524E-2</c:v>
                </c:pt>
                <c:pt idx="186">
                  <c:v>3.2628561311040187E-2</c:v>
                </c:pt>
                <c:pt idx="187">
                  <c:v>3.1740045770633524E-2</c:v>
                </c:pt>
                <c:pt idx="188">
                  <c:v>3.0849474956745417E-2</c:v>
                </c:pt>
                <c:pt idx="189">
                  <c:v>2.9956856600405334E-2</c:v>
                </c:pt>
                <c:pt idx="190">
                  <c:v>2.9062197766443462E-2</c:v>
                </c:pt>
                <c:pt idx="191">
                  <c:v>2.816550486462974E-2</c:v>
                </c:pt>
                <c:pt idx="192">
                  <c:v>2.7266783659711365E-2</c:v>
                </c:pt>
                <c:pt idx="193">
                  <c:v>2.6366039280385813E-2</c:v>
                </c:pt>
                <c:pt idx="194">
                  <c:v>2.5463276227242222E-2</c:v>
                </c:pt>
                <c:pt idx="195">
                  <c:v>2.4558498379699808E-2</c:v>
                </c:pt>
                <c:pt idx="196">
                  <c:v>2.3651709001968675E-2</c:v>
                </c:pt>
                <c:pt idx="197">
                  <c:v>2.2742910748053818E-2</c:v>
                </c:pt>
                <c:pt idx="198">
                  <c:v>2.1832105665820653E-2</c:v>
                </c:pt>
                <c:pt idx="199">
                  <c:v>2.0919295200136169E-2</c:v>
                </c:pt>
                <c:pt idx="200">
                  <c:v>2.0004480195097044E-2</c:v>
                </c:pt>
              </c:numCache>
            </c:numRef>
          </c:val>
        </c:ser>
        <c:marker val="1"/>
        <c:axId val="174848640"/>
        <c:axId val="177082752"/>
      </c:lineChart>
      <c:catAx>
        <c:axId val="174848640"/>
        <c:scaling>
          <c:orientation val="minMax"/>
        </c:scaling>
        <c:axPos val="b"/>
        <c:numFmt formatCode="General" sourceLinked="1"/>
        <c:tickLblPos val="nextTo"/>
        <c:crossAx val="177082752"/>
        <c:crosses val="autoZero"/>
        <c:auto val="1"/>
        <c:lblAlgn val="ctr"/>
        <c:lblOffset val="100"/>
      </c:catAx>
      <c:valAx>
        <c:axId val="177082752"/>
        <c:scaling>
          <c:orientation val="minMax"/>
        </c:scaling>
        <c:axPos val="l"/>
        <c:majorGridlines/>
        <c:numFmt formatCode="0.00%" sourceLinked="1"/>
        <c:tickLblPos val="nextTo"/>
        <c:crossAx val="174848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autoTitleDeleted val="1"/>
    <c:plotArea>
      <c:layout/>
      <c:scatterChart>
        <c:scatterStyle val="lineMarker"/>
        <c:ser>
          <c:idx val="0"/>
          <c:order val="0"/>
          <c:tx>
            <c:v>cosfi=0,8cap</c:v>
          </c:tx>
          <c:marker>
            <c:symbol val="none"/>
          </c:marker>
          <c:xVal>
            <c:numRef>
              <c:f>'U2=f(cosfi)'!$D$2:$D$102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'U2=f(cosfi)'!$H$2:$H$102</c:f>
              <c:numCache>
                <c:formatCode>General</c:formatCode>
                <c:ptCount val="101"/>
                <c:pt idx="0">
                  <c:v>110</c:v>
                </c:pt>
                <c:pt idx="1">
                  <c:v>109.93259172305731</c:v>
                </c:pt>
                <c:pt idx="2">
                  <c:v>109.86518289222924</c:v>
                </c:pt>
                <c:pt idx="3">
                  <c:v>109.79777350751581</c:v>
                </c:pt>
                <c:pt idx="4">
                  <c:v>109.73036356891699</c:v>
                </c:pt>
                <c:pt idx="5">
                  <c:v>109.6629530764328</c:v>
                </c:pt>
                <c:pt idx="6">
                  <c:v>109.59554203006323</c:v>
                </c:pt>
                <c:pt idx="7">
                  <c:v>109.52813042980829</c:v>
                </c:pt>
                <c:pt idx="8">
                  <c:v>109.46071827566797</c:v>
                </c:pt>
                <c:pt idx="9">
                  <c:v>109.39330556764227</c:v>
                </c:pt>
                <c:pt idx="10">
                  <c:v>109.3258923057312</c:v>
                </c:pt>
                <c:pt idx="11">
                  <c:v>109.25847848993475</c:v>
                </c:pt>
                <c:pt idx="12">
                  <c:v>109.19106412025293</c:v>
                </c:pt>
                <c:pt idx="13">
                  <c:v>109.12364919668573</c:v>
                </c:pt>
                <c:pt idx="14">
                  <c:v>109.05623371923315</c:v>
                </c:pt>
                <c:pt idx="15">
                  <c:v>108.98881768789521</c:v>
                </c:pt>
                <c:pt idx="16">
                  <c:v>108.92140110267187</c:v>
                </c:pt>
                <c:pt idx="17">
                  <c:v>108.85398396356317</c:v>
                </c:pt>
                <c:pt idx="18">
                  <c:v>108.78656627056908</c:v>
                </c:pt>
                <c:pt idx="19">
                  <c:v>108.71914802368963</c:v>
                </c:pt>
                <c:pt idx="20">
                  <c:v>108.6517292229248</c:v>
                </c:pt>
                <c:pt idx="21">
                  <c:v>108.58430986827459</c:v>
                </c:pt>
                <c:pt idx="22">
                  <c:v>108.516889959739</c:v>
                </c:pt>
                <c:pt idx="23">
                  <c:v>108.44946949731805</c:v>
                </c:pt>
                <c:pt idx="24">
                  <c:v>108.38204848101171</c:v>
                </c:pt>
                <c:pt idx="25">
                  <c:v>108.31462691082</c:v>
                </c:pt>
                <c:pt idx="26">
                  <c:v>108.24720478674291</c:v>
                </c:pt>
                <c:pt idx="27">
                  <c:v>108.17978210878044</c:v>
                </c:pt>
                <c:pt idx="28">
                  <c:v>108.1123588769326</c:v>
                </c:pt>
                <c:pt idx="29">
                  <c:v>108.04493509119939</c:v>
                </c:pt>
                <c:pt idx="30">
                  <c:v>107.97751075158079</c:v>
                </c:pt>
                <c:pt idx="31">
                  <c:v>107.91008585807683</c:v>
                </c:pt>
                <c:pt idx="32">
                  <c:v>107.84266041068749</c:v>
                </c:pt>
                <c:pt idx="33">
                  <c:v>107.77523440941277</c:v>
                </c:pt>
                <c:pt idx="34">
                  <c:v>107.70780785425268</c:v>
                </c:pt>
                <c:pt idx="35">
                  <c:v>107.6403807452072</c:v>
                </c:pt>
                <c:pt idx="36">
                  <c:v>107.57295308227636</c:v>
                </c:pt>
                <c:pt idx="37">
                  <c:v>107.50552486546013</c:v>
                </c:pt>
                <c:pt idx="38">
                  <c:v>107.43809609475852</c:v>
                </c:pt>
                <c:pt idx="39">
                  <c:v>107.37066677017155</c:v>
                </c:pt>
                <c:pt idx="40">
                  <c:v>107.3032368916992</c:v>
                </c:pt>
                <c:pt idx="41">
                  <c:v>107.23580645934148</c:v>
                </c:pt>
                <c:pt idx="42">
                  <c:v>107.16837547309837</c:v>
                </c:pt>
                <c:pt idx="43">
                  <c:v>107.10094393296988</c:v>
                </c:pt>
                <c:pt idx="44">
                  <c:v>107.03351183895603</c:v>
                </c:pt>
                <c:pt idx="45">
                  <c:v>106.96607919105681</c:v>
                </c:pt>
                <c:pt idx="46">
                  <c:v>106.8986459892722</c:v>
                </c:pt>
                <c:pt idx="47">
                  <c:v>106.8312122336022</c:v>
                </c:pt>
                <c:pt idx="48">
                  <c:v>106.76377792404685</c:v>
                </c:pt>
                <c:pt idx="49">
                  <c:v>106.69634306060611</c:v>
                </c:pt>
                <c:pt idx="50">
                  <c:v>106.62890764328</c:v>
                </c:pt>
                <c:pt idx="51">
                  <c:v>106.56147167206851</c:v>
                </c:pt>
                <c:pt idx="52">
                  <c:v>106.49403514697165</c:v>
                </c:pt>
                <c:pt idx="53">
                  <c:v>106.4265980679894</c:v>
                </c:pt>
                <c:pt idx="54">
                  <c:v>106.35916043512179</c:v>
                </c:pt>
                <c:pt idx="55">
                  <c:v>106.2917222483688</c:v>
                </c:pt>
                <c:pt idx="56">
                  <c:v>106.22428350773043</c:v>
                </c:pt>
                <c:pt idx="57">
                  <c:v>106.15684421320668</c:v>
                </c:pt>
                <c:pt idx="58">
                  <c:v>106.08940436479757</c:v>
                </c:pt>
                <c:pt idx="59">
                  <c:v>106.02196396250307</c:v>
                </c:pt>
                <c:pt idx="60">
                  <c:v>105.9545230063232</c:v>
                </c:pt>
                <c:pt idx="61">
                  <c:v>105.88708149625795</c:v>
                </c:pt>
                <c:pt idx="62">
                  <c:v>105.81963943230733</c:v>
                </c:pt>
                <c:pt idx="63">
                  <c:v>105.75219681447133</c:v>
                </c:pt>
                <c:pt idx="64">
                  <c:v>105.68475364274995</c:v>
                </c:pt>
                <c:pt idx="65">
                  <c:v>105.6173099171432</c:v>
                </c:pt>
                <c:pt idx="66">
                  <c:v>105.54986563765107</c:v>
                </c:pt>
                <c:pt idx="67">
                  <c:v>105.48242080427357</c:v>
                </c:pt>
                <c:pt idx="68">
                  <c:v>105.41497541701068</c:v>
                </c:pt>
                <c:pt idx="69">
                  <c:v>105.34752947586243</c:v>
                </c:pt>
                <c:pt idx="70">
                  <c:v>105.28008298082879</c:v>
                </c:pt>
                <c:pt idx="71">
                  <c:v>105.21263593190979</c:v>
                </c:pt>
                <c:pt idx="72">
                  <c:v>105.14518832910541</c:v>
                </c:pt>
                <c:pt idx="73">
                  <c:v>105.07774017241564</c:v>
                </c:pt>
                <c:pt idx="74">
                  <c:v>105.01029146184051</c:v>
                </c:pt>
                <c:pt idx="75">
                  <c:v>104.94284219738</c:v>
                </c:pt>
                <c:pt idx="76">
                  <c:v>104.87539237903411</c:v>
                </c:pt>
                <c:pt idx="77">
                  <c:v>104.80794200680285</c:v>
                </c:pt>
                <c:pt idx="78">
                  <c:v>104.74049108068621</c:v>
                </c:pt>
                <c:pt idx="79">
                  <c:v>104.67303960068419</c:v>
                </c:pt>
                <c:pt idx="80">
                  <c:v>104.6055875667968</c:v>
                </c:pt>
                <c:pt idx="81">
                  <c:v>104.53813497902404</c:v>
                </c:pt>
                <c:pt idx="82">
                  <c:v>104.47068183736589</c:v>
                </c:pt>
                <c:pt idx="83">
                  <c:v>104.40322814182237</c:v>
                </c:pt>
                <c:pt idx="84">
                  <c:v>104.33577389239348</c:v>
                </c:pt>
                <c:pt idx="85">
                  <c:v>104.2683190890792</c:v>
                </c:pt>
                <c:pt idx="86">
                  <c:v>104.20086373187955</c:v>
                </c:pt>
                <c:pt idx="87">
                  <c:v>104.13340782079453</c:v>
                </c:pt>
                <c:pt idx="88">
                  <c:v>104.06595135582413</c:v>
                </c:pt>
                <c:pt idx="89">
                  <c:v>103.99849433696835</c:v>
                </c:pt>
                <c:pt idx="90">
                  <c:v>103.9310367642272</c:v>
                </c:pt>
                <c:pt idx="91">
                  <c:v>103.86357863760067</c:v>
                </c:pt>
                <c:pt idx="92">
                  <c:v>103.79611995708876</c:v>
                </c:pt>
                <c:pt idx="93">
                  <c:v>103.72866072269149</c:v>
                </c:pt>
                <c:pt idx="94">
                  <c:v>103.66120093440882</c:v>
                </c:pt>
                <c:pt idx="95">
                  <c:v>103.59374059224081</c:v>
                </c:pt>
                <c:pt idx="96">
                  <c:v>103.52627969618739</c:v>
                </c:pt>
                <c:pt idx="97">
                  <c:v>103.45881824624861</c:v>
                </c:pt>
                <c:pt idx="98">
                  <c:v>103.39135624242445</c:v>
                </c:pt>
                <c:pt idx="99">
                  <c:v>103.32389368471492</c:v>
                </c:pt>
                <c:pt idx="100">
                  <c:v>103.25643057312</c:v>
                </c:pt>
              </c:numCache>
            </c:numRef>
          </c:yVal>
        </c:ser>
        <c:ser>
          <c:idx val="1"/>
          <c:order val="1"/>
          <c:tx>
            <c:v>cosfi=1</c:v>
          </c:tx>
          <c:marker>
            <c:symbol val="none"/>
          </c:marker>
          <c:xVal>
            <c:numRef>
              <c:f>'U2=f(cosfi)'!$D$2:$D$102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'U2=f(cosfi)'!$I$2:$I$102</c:f>
              <c:numCache>
                <c:formatCode>General</c:formatCode>
                <c:ptCount val="101"/>
                <c:pt idx="0">
                  <c:v>110</c:v>
                </c:pt>
                <c:pt idx="1">
                  <c:v>109.899239978</c:v>
                </c:pt>
                <c:pt idx="2">
                  <c:v>109.798479912</c:v>
                </c:pt>
                <c:pt idx="3">
                  <c:v>109.69771980199999</c:v>
                </c:pt>
                <c:pt idx="4">
                  <c:v>109.596959648</c:v>
                </c:pt>
                <c:pt idx="5">
                  <c:v>109.49619945000001</c:v>
                </c:pt>
                <c:pt idx="6">
                  <c:v>109.395439208</c:v>
                </c:pt>
                <c:pt idx="7">
                  <c:v>109.294678922</c:v>
                </c:pt>
                <c:pt idx="8">
                  <c:v>109.193918592</c:v>
                </c:pt>
                <c:pt idx="9">
                  <c:v>109.093158218</c:v>
                </c:pt>
                <c:pt idx="10">
                  <c:v>108.99239780000001</c:v>
                </c:pt>
                <c:pt idx="11">
                  <c:v>108.891637338</c:v>
                </c:pt>
                <c:pt idx="12">
                  <c:v>108.790876832</c:v>
                </c:pt>
                <c:pt idx="13">
                  <c:v>108.69011628200001</c:v>
                </c:pt>
                <c:pt idx="14">
                  <c:v>108.589355688</c:v>
                </c:pt>
                <c:pt idx="15">
                  <c:v>108.48859505</c:v>
                </c:pt>
                <c:pt idx="16">
                  <c:v>108.387834368</c:v>
                </c:pt>
                <c:pt idx="17">
                  <c:v>108.287073642</c:v>
                </c:pt>
                <c:pt idx="18">
                  <c:v>108.186312872</c:v>
                </c:pt>
                <c:pt idx="19">
                  <c:v>108.085552058</c:v>
                </c:pt>
                <c:pt idx="20">
                  <c:v>107.9847912</c:v>
                </c:pt>
                <c:pt idx="21">
                  <c:v>107.884030298</c:v>
                </c:pt>
                <c:pt idx="22">
                  <c:v>107.783269352</c:v>
                </c:pt>
                <c:pt idx="23">
                  <c:v>107.68250836199999</c:v>
                </c:pt>
                <c:pt idx="24">
                  <c:v>107.58174732800001</c:v>
                </c:pt>
                <c:pt idx="25">
                  <c:v>107.48098625</c:v>
                </c:pt>
                <c:pt idx="26">
                  <c:v>107.38022512800001</c:v>
                </c:pt>
                <c:pt idx="27">
                  <c:v>107.27946396199999</c:v>
                </c:pt>
                <c:pt idx="28">
                  <c:v>107.17870275199999</c:v>
                </c:pt>
                <c:pt idx="29">
                  <c:v>107.077941498</c:v>
                </c:pt>
                <c:pt idx="30">
                  <c:v>106.97718020000001</c:v>
                </c:pt>
                <c:pt idx="31">
                  <c:v>106.87641885799999</c:v>
                </c:pt>
                <c:pt idx="32">
                  <c:v>106.77565747200001</c:v>
                </c:pt>
                <c:pt idx="33">
                  <c:v>106.674896042</c:v>
                </c:pt>
                <c:pt idx="34">
                  <c:v>106.57413456800001</c:v>
                </c:pt>
                <c:pt idx="35">
                  <c:v>106.47337305000001</c:v>
                </c:pt>
                <c:pt idx="36">
                  <c:v>106.372611488</c:v>
                </c:pt>
                <c:pt idx="37">
                  <c:v>106.271849882</c:v>
                </c:pt>
                <c:pt idx="38">
                  <c:v>106.171088232</c:v>
                </c:pt>
                <c:pt idx="39">
                  <c:v>106.070326538</c:v>
                </c:pt>
                <c:pt idx="40">
                  <c:v>105.9695648</c:v>
                </c:pt>
                <c:pt idx="41">
                  <c:v>105.86880301799999</c:v>
                </c:pt>
                <c:pt idx="42">
                  <c:v>105.768041192</c:v>
                </c:pt>
                <c:pt idx="43">
                  <c:v>105.667279322</c:v>
                </c:pt>
                <c:pt idx="44">
                  <c:v>105.566517408</c:v>
                </c:pt>
                <c:pt idx="45">
                  <c:v>105.46575545</c:v>
                </c:pt>
                <c:pt idx="46">
                  <c:v>105.36499344800001</c:v>
                </c:pt>
                <c:pt idx="47">
                  <c:v>105.26423140200001</c:v>
                </c:pt>
                <c:pt idx="48">
                  <c:v>105.163469312</c:v>
                </c:pt>
                <c:pt idx="49">
                  <c:v>105.062707178</c:v>
                </c:pt>
                <c:pt idx="50">
                  <c:v>104.961945</c:v>
                </c:pt>
                <c:pt idx="51">
                  <c:v>104.861182778</c:v>
                </c:pt>
                <c:pt idx="52">
                  <c:v>104.760420512</c:v>
                </c:pt>
                <c:pt idx="53">
                  <c:v>104.659658202</c:v>
                </c:pt>
                <c:pt idx="54">
                  <c:v>104.55889584800001</c:v>
                </c:pt>
                <c:pt idx="55">
                  <c:v>104.45813345000001</c:v>
                </c:pt>
                <c:pt idx="56">
                  <c:v>104.357371008</c:v>
                </c:pt>
                <c:pt idx="57">
                  <c:v>104.25660852199999</c:v>
                </c:pt>
                <c:pt idx="58">
                  <c:v>104.155845992</c:v>
                </c:pt>
                <c:pt idx="59">
                  <c:v>104.055083418</c:v>
                </c:pt>
                <c:pt idx="60">
                  <c:v>103.9543208</c:v>
                </c:pt>
                <c:pt idx="61">
                  <c:v>103.853558138</c:v>
                </c:pt>
                <c:pt idx="62">
                  <c:v>103.752795432</c:v>
                </c:pt>
                <c:pt idx="63">
                  <c:v>103.652032682</c:v>
                </c:pt>
                <c:pt idx="64">
                  <c:v>103.55126988799999</c:v>
                </c:pt>
                <c:pt idx="65">
                  <c:v>103.45050705</c:v>
                </c:pt>
                <c:pt idx="66">
                  <c:v>103.349744168</c:v>
                </c:pt>
                <c:pt idx="67">
                  <c:v>103.248981242</c:v>
                </c:pt>
                <c:pt idx="68">
                  <c:v>103.14821827199999</c:v>
                </c:pt>
                <c:pt idx="69">
                  <c:v>103.047455258</c:v>
                </c:pt>
                <c:pt idx="70">
                  <c:v>102.9466922</c:v>
                </c:pt>
                <c:pt idx="71">
                  <c:v>102.845929098</c:v>
                </c:pt>
                <c:pt idx="72">
                  <c:v>102.74516595199999</c:v>
                </c:pt>
                <c:pt idx="73">
                  <c:v>102.644402762</c:v>
                </c:pt>
                <c:pt idx="74">
                  <c:v>102.543639528</c:v>
                </c:pt>
                <c:pt idx="75">
                  <c:v>102.44287625</c:v>
                </c:pt>
                <c:pt idx="76">
                  <c:v>102.34211292800001</c:v>
                </c:pt>
                <c:pt idx="77">
                  <c:v>102.241349562</c:v>
                </c:pt>
                <c:pt idx="78">
                  <c:v>102.140586152</c:v>
                </c:pt>
                <c:pt idx="79">
                  <c:v>102.03982269799999</c:v>
                </c:pt>
                <c:pt idx="80">
                  <c:v>101.9390592</c:v>
                </c:pt>
                <c:pt idx="81">
                  <c:v>101.83829565799999</c:v>
                </c:pt>
                <c:pt idx="82">
                  <c:v>101.73753207199999</c:v>
                </c:pt>
                <c:pt idx="83">
                  <c:v>101.636768442</c:v>
                </c:pt>
                <c:pt idx="84">
                  <c:v>101.536004768</c:v>
                </c:pt>
                <c:pt idx="85">
                  <c:v>101.43524105</c:v>
                </c:pt>
                <c:pt idx="86">
                  <c:v>101.334477288</c:v>
                </c:pt>
                <c:pt idx="87">
                  <c:v>101.233713482</c:v>
                </c:pt>
                <c:pt idx="88">
                  <c:v>101.13294963200001</c:v>
                </c:pt>
                <c:pt idx="89">
                  <c:v>101.032185738</c:v>
                </c:pt>
                <c:pt idx="90">
                  <c:v>100.9314218</c:v>
                </c:pt>
                <c:pt idx="91">
                  <c:v>100.83065781799999</c:v>
                </c:pt>
                <c:pt idx="92">
                  <c:v>100.729893792</c:v>
                </c:pt>
                <c:pt idx="93">
                  <c:v>100.629129722</c:v>
                </c:pt>
                <c:pt idx="94">
                  <c:v>100.528365608</c:v>
                </c:pt>
                <c:pt idx="95">
                  <c:v>100.42760145</c:v>
                </c:pt>
                <c:pt idx="96">
                  <c:v>100.326837248</c:v>
                </c:pt>
                <c:pt idx="97">
                  <c:v>100.22607300199999</c:v>
                </c:pt>
                <c:pt idx="98">
                  <c:v>100.12530871200001</c:v>
                </c:pt>
                <c:pt idx="99">
                  <c:v>100.024544378</c:v>
                </c:pt>
                <c:pt idx="100">
                  <c:v>99.923779999999994</c:v>
                </c:pt>
              </c:numCache>
            </c:numRef>
          </c:yVal>
        </c:ser>
        <c:ser>
          <c:idx val="2"/>
          <c:order val="2"/>
          <c:tx>
            <c:v>cosfi=0,8ind</c:v>
          </c:tx>
          <c:marker>
            <c:symbol val="none"/>
          </c:marker>
          <c:xVal>
            <c:numRef>
              <c:f>'U2=f(cosfi)'!$D$2:$D$102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'U2=f(cosfi)'!$J$2:$J$102</c:f>
              <c:numCache>
                <c:formatCode>General</c:formatCode>
                <c:ptCount val="101"/>
                <c:pt idx="0">
                  <c:v>110</c:v>
                </c:pt>
                <c:pt idx="1">
                  <c:v>109.90619191651651</c:v>
                </c:pt>
                <c:pt idx="2">
                  <c:v>109.81238366606605</c:v>
                </c:pt>
                <c:pt idx="3">
                  <c:v>109.71857524864861</c:v>
                </c:pt>
                <c:pt idx="4">
                  <c:v>109.62476666426419</c:v>
                </c:pt>
                <c:pt idx="5">
                  <c:v>109.5309579129128</c:v>
                </c:pt>
                <c:pt idx="6">
                  <c:v>109.43714899459444</c:v>
                </c:pt>
                <c:pt idx="7">
                  <c:v>109.34333990930909</c:v>
                </c:pt>
                <c:pt idx="8">
                  <c:v>109.24953065705677</c:v>
                </c:pt>
                <c:pt idx="9">
                  <c:v>109.15572123783747</c:v>
                </c:pt>
                <c:pt idx="10">
                  <c:v>109.0619116516512</c:v>
                </c:pt>
                <c:pt idx="11">
                  <c:v>108.96810189849795</c:v>
                </c:pt>
                <c:pt idx="12">
                  <c:v>108.87429197837773</c:v>
                </c:pt>
                <c:pt idx="13">
                  <c:v>108.78048189129053</c:v>
                </c:pt>
                <c:pt idx="14">
                  <c:v>108.68667163723636</c:v>
                </c:pt>
                <c:pt idx="15">
                  <c:v>108.5928612162152</c:v>
                </c:pt>
                <c:pt idx="16">
                  <c:v>108.49905062822707</c:v>
                </c:pt>
                <c:pt idx="17">
                  <c:v>108.40523987327197</c:v>
                </c:pt>
                <c:pt idx="18">
                  <c:v>108.31142895134988</c:v>
                </c:pt>
                <c:pt idx="19">
                  <c:v>108.21761786246083</c:v>
                </c:pt>
                <c:pt idx="20">
                  <c:v>108.1238066066048</c:v>
                </c:pt>
                <c:pt idx="21">
                  <c:v>108.02999518378179</c:v>
                </c:pt>
                <c:pt idx="22">
                  <c:v>107.93618359399181</c:v>
                </c:pt>
                <c:pt idx="23">
                  <c:v>107.84237183723485</c:v>
                </c:pt>
                <c:pt idx="24">
                  <c:v>107.74855991351092</c:v>
                </c:pt>
                <c:pt idx="25">
                  <c:v>107.65474782282</c:v>
                </c:pt>
                <c:pt idx="26">
                  <c:v>107.56093556516211</c:v>
                </c:pt>
                <c:pt idx="27">
                  <c:v>107.46712314053725</c:v>
                </c:pt>
                <c:pt idx="28">
                  <c:v>107.37331054894541</c:v>
                </c:pt>
                <c:pt idx="29">
                  <c:v>107.27949779038659</c:v>
                </c:pt>
                <c:pt idx="30">
                  <c:v>107.1856848648608</c:v>
                </c:pt>
                <c:pt idx="31">
                  <c:v>107.09187177236804</c:v>
                </c:pt>
                <c:pt idx="32">
                  <c:v>106.99805851290829</c:v>
                </c:pt>
                <c:pt idx="33">
                  <c:v>106.90424508648157</c:v>
                </c:pt>
                <c:pt idx="34">
                  <c:v>106.81043149308788</c:v>
                </c:pt>
                <c:pt idx="35">
                  <c:v>106.7166177327272</c:v>
                </c:pt>
                <c:pt idx="36">
                  <c:v>106.62280380539956</c:v>
                </c:pt>
                <c:pt idx="37">
                  <c:v>106.52898971110493</c:v>
                </c:pt>
                <c:pt idx="38">
                  <c:v>106.43517544984333</c:v>
                </c:pt>
                <c:pt idx="39">
                  <c:v>106.34136102161476</c:v>
                </c:pt>
                <c:pt idx="40">
                  <c:v>106.24754642641921</c:v>
                </c:pt>
                <c:pt idx="41">
                  <c:v>106.15373166425667</c:v>
                </c:pt>
                <c:pt idx="42">
                  <c:v>106.05991673512717</c:v>
                </c:pt>
                <c:pt idx="43">
                  <c:v>105.96610163903068</c:v>
                </c:pt>
                <c:pt idx="44">
                  <c:v>105.87228637596724</c:v>
                </c:pt>
                <c:pt idx="45">
                  <c:v>105.7784709459368</c:v>
                </c:pt>
                <c:pt idx="46">
                  <c:v>105.68465534893939</c:v>
                </c:pt>
                <c:pt idx="47">
                  <c:v>105.59083958497501</c:v>
                </c:pt>
                <c:pt idx="48">
                  <c:v>105.49702365404364</c:v>
                </c:pt>
                <c:pt idx="49">
                  <c:v>105.40320755614532</c:v>
                </c:pt>
                <c:pt idx="50">
                  <c:v>105.30939129128001</c:v>
                </c:pt>
                <c:pt idx="51">
                  <c:v>105.21557485944771</c:v>
                </c:pt>
                <c:pt idx="52">
                  <c:v>105.12175826064845</c:v>
                </c:pt>
                <c:pt idx="53">
                  <c:v>105.02794149488221</c:v>
                </c:pt>
                <c:pt idx="54">
                  <c:v>104.93412456214899</c:v>
                </c:pt>
                <c:pt idx="55">
                  <c:v>104.84030746244881</c:v>
                </c:pt>
                <c:pt idx="56">
                  <c:v>104.74649019578163</c:v>
                </c:pt>
                <c:pt idx="57">
                  <c:v>104.65267276214749</c:v>
                </c:pt>
                <c:pt idx="58">
                  <c:v>104.55885516154638</c:v>
                </c:pt>
                <c:pt idx="59">
                  <c:v>104.46503739397828</c:v>
                </c:pt>
                <c:pt idx="60">
                  <c:v>104.3712194594432</c:v>
                </c:pt>
                <c:pt idx="61">
                  <c:v>104.27740135794116</c:v>
                </c:pt>
                <c:pt idx="62">
                  <c:v>104.18358308947212</c:v>
                </c:pt>
                <c:pt idx="63">
                  <c:v>104.08976465403613</c:v>
                </c:pt>
                <c:pt idx="64">
                  <c:v>103.99594605163315</c:v>
                </c:pt>
                <c:pt idx="65">
                  <c:v>103.90212728226319</c:v>
                </c:pt>
                <c:pt idx="66">
                  <c:v>103.80830834592628</c:v>
                </c:pt>
                <c:pt idx="67">
                  <c:v>103.71448924262236</c:v>
                </c:pt>
                <c:pt idx="68">
                  <c:v>103.62066997235149</c:v>
                </c:pt>
                <c:pt idx="69">
                  <c:v>103.52685053511364</c:v>
                </c:pt>
                <c:pt idx="70">
                  <c:v>103.4330309309088</c:v>
                </c:pt>
                <c:pt idx="71">
                  <c:v>103.33921115973699</c:v>
                </c:pt>
                <c:pt idx="72">
                  <c:v>103.24539122159821</c:v>
                </c:pt>
                <c:pt idx="73">
                  <c:v>103.15157111649245</c:v>
                </c:pt>
                <c:pt idx="74">
                  <c:v>103.05775084441972</c:v>
                </c:pt>
                <c:pt idx="75">
                  <c:v>102.96393040538</c:v>
                </c:pt>
                <c:pt idx="76">
                  <c:v>102.87010979937331</c:v>
                </c:pt>
                <c:pt idx="77">
                  <c:v>102.77628902639965</c:v>
                </c:pt>
                <c:pt idx="78">
                  <c:v>102.68246808645901</c:v>
                </c:pt>
                <c:pt idx="79">
                  <c:v>102.5886469795514</c:v>
                </c:pt>
                <c:pt idx="80">
                  <c:v>102.4948257056768</c:v>
                </c:pt>
                <c:pt idx="81">
                  <c:v>102.40100426483524</c:v>
                </c:pt>
                <c:pt idx="82">
                  <c:v>102.30718265702669</c:v>
                </c:pt>
                <c:pt idx="83">
                  <c:v>102.21336088225117</c:v>
                </c:pt>
                <c:pt idx="84">
                  <c:v>102.11953894050868</c:v>
                </c:pt>
                <c:pt idx="85">
                  <c:v>102.0257168317992</c:v>
                </c:pt>
                <c:pt idx="86">
                  <c:v>101.93189455612276</c:v>
                </c:pt>
                <c:pt idx="87">
                  <c:v>101.83807211347933</c:v>
                </c:pt>
                <c:pt idx="88">
                  <c:v>101.74424950386893</c:v>
                </c:pt>
                <c:pt idx="89">
                  <c:v>101.65042672729155</c:v>
                </c:pt>
                <c:pt idx="90">
                  <c:v>101.55660378374719</c:v>
                </c:pt>
                <c:pt idx="91">
                  <c:v>101.46278067323587</c:v>
                </c:pt>
                <c:pt idx="92">
                  <c:v>101.36895739575756</c:v>
                </c:pt>
                <c:pt idx="93">
                  <c:v>101.27513395131228</c:v>
                </c:pt>
                <c:pt idx="94">
                  <c:v>101.18131033990004</c:v>
                </c:pt>
                <c:pt idx="95">
                  <c:v>101.08748656152081</c:v>
                </c:pt>
                <c:pt idx="96">
                  <c:v>100.99366261617459</c:v>
                </c:pt>
                <c:pt idx="97">
                  <c:v>100.8998385038614</c:v>
                </c:pt>
                <c:pt idx="98">
                  <c:v>100.80601422458125</c:v>
                </c:pt>
                <c:pt idx="99">
                  <c:v>100.71218977833411</c:v>
                </c:pt>
                <c:pt idx="100">
                  <c:v>100.61836516512</c:v>
                </c:pt>
              </c:numCache>
            </c:numRef>
          </c:yVal>
        </c:ser>
        <c:axId val="177424640"/>
        <c:axId val="177434624"/>
      </c:scatterChart>
      <c:valAx>
        <c:axId val="177424640"/>
        <c:scaling>
          <c:orientation val="minMax"/>
        </c:scaling>
        <c:axPos val="b"/>
        <c:numFmt formatCode="General" sourceLinked="1"/>
        <c:tickLblPos val="nextTo"/>
        <c:crossAx val="177434624"/>
        <c:crosses val="autoZero"/>
        <c:crossBetween val="midCat"/>
      </c:valAx>
      <c:valAx>
        <c:axId val="177434624"/>
        <c:scaling>
          <c:orientation val="minMax"/>
          <c:min val="98"/>
        </c:scaling>
        <c:axPos val="l"/>
        <c:majorGridlines/>
        <c:numFmt formatCode="General" sourceLinked="1"/>
        <c:tickLblPos val="nextTo"/>
        <c:crossAx val="17742464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title>
      <c:layout/>
    </c:title>
    <c:plotArea>
      <c:layout/>
      <c:scatterChart>
        <c:scatterStyle val="lineMarker"/>
        <c:ser>
          <c:idx val="0"/>
          <c:order val="0"/>
          <c:tx>
            <c:v>T</c:v>
          </c:tx>
          <c:spPr>
            <a:ln w="28575">
              <a:noFill/>
            </a:ln>
          </c:spPr>
          <c:trendline>
            <c:trendlineType val="log"/>
          </c:trendline>
          <c:xVal>
            <c:numRef>
              <c:f>PorastTemperature!$I$8:$I$16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numCache>
            </c:numRef>
          </c:xVal>
          <c:yVal>
            <c:numRef>
              <c:f>PorastTemperature!$H$8:$H$16</c:f>
              <c:numCache>
                <c:formatCode>General</c:formatCode>
                <c:ptCount val="9"/>
                <c:pt idx="0">
                  <c:v>39.787323548658492</c:v>
                </c:pt>
                <c:pt idx="1">
                  <c:v>52.122077672699277</c:v>
                </c:pt>
                <c:pt idx="2">
                  <c:v>63.880994671403187</c:v>
                </c:pt>
                <c:pt idx="3">
                  <c:v>65.142095914742413</c:v>
                </c:pt>
                <c:pt idx="4">
                  <c:v>58.257164802457851</c:v>
                </c:pt>
                <c:pt idx="5">
                  <c:v>58.257164802457851</c:v>
                </c:pt>
                <c:pt idx="6">
                  <c:v>55.803129950554421</c:v>
                </c:pt>
                <c:pt idx="7">
                  <c:v>71.1233189545801</c:v>
                </c:pt>
                <c:pt idx="8">
                  <c:v>80.126945982655911</c:v>
                </c:pt>
              </c:numCache>
            </c:numRef>
          </c:yVal>
        </c:ser>
        <c:axId val="180134272"/>
        <c:axId val="180135808"/>
      </c:scatterChart>
      <c:valAx>
        <c:axId val="180134272"/>
        <c:scaling>
          <c:orientation val="minMax"/>
        </c:scaling>
        <c:axPos val="b"/>
        <c:numFmt formatCode="General" sourceLinked="1"/>
        <c:tickLblPos val="nextTo"/>
        <c:crossAx val="180135808"/>
        <c:crosses val="autoZero"/>
        <c:crossBetween val="midCat"/>
      </c:valAx>
      <c:valAx>
        <c:axId val="180135808"/>
        <c:scaling>
          <c:orientation val="minMax"/>
        </c:scaling>
        <c:axPos val="l"/>
        <c:majorGridlines/>
        <c:numFmt formatCode="General" sourceLinked="1"/>
        <c:tickLblPos val="nextTo"/>
        <c:crossAx val="1801342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0</xdr:row>
      <xdr:rowOff>152400</xdr:rowOff>
    </xdr:from>
    <xdr:to>
      <xdr:col>18</xdr:col>
      <xdr:colOff>447675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16</xdr:row>
      <xdr:rowOff>28575</xdr:rowOff>
    </xdr:from>
    <xdr:to>
      <xdr:col>18</xdr:col>
      <xdr:colOff>466725</xdr:colOff>
      <xdr:row>30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514350</xdr:colOff>
      <xdr:row>179</xdr:row>
      <xdr:rowOff>104775</xdr:rowOff>
    </xdr:from>
    <xdr:to>
      <xdr:col>20</xdr:col>
      <xdr:colOff>266700</xdr:colOff>
      <xdr:row>196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2</xdr:row>
      <xdr:rowOff>66675</xdr:rowOff>
    </xdr:from>
    <xdr:to>
      <xdr:col>20</xdr:col>
      <xdr:colOff>342900</xdr:colOff>
      <xdr:row>16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352425</xdr:colOff>
      <xdr:row>1</xdr:row>
      <xdr:rowOff>57150</xdr:rowOff>
    </xdr:from>
    <xdr:to>
      <xdr:col>20</xdr:col>
      <xdr:colOff>47625</xdr:colOff>
      <xdr:row>15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>
      <selection activeCell="B18" sqref="B18"/>
    </sheetView>
  </sheetViews>
  <sheetFormatPr defaultRowHeight="15"/>
  <cols>
    <col min="1" max="1" width="5.85546875" bestFit="1" customWidth="1"/>
    <col min="2" max="2" width="12" bestFit="1" customWidth="1"/>
    <col min="3" max="3" width="2" bestFit="1" customWidth="1"/>
    <col min="4" max="4" width="6" bestFit="1" customWidth="1"/>
    <col min="5" max="5" width="4" bestFit="1" customWidth="1"/>
    <col min="6" max="6" width="2" bestFit="1" customWidth="1"/>
    <col min="7" max="7" width="4" bestFit="1" customWidth="1"/>
    <col min="8" max="8" width="5" bestFit="1" customWidth="1"/>
    <col min="9" max="9" width="2" bestFit="1" customWidth="1"/>
    <col min="10" max="11" width="5" bestFit="1" customWidth="1"/>
    <col min="12" max="12" width="2" bestFit="1" customWidth="1"/>
    <col min="13" max="14" width="5" bestFit="1" customWidth="1"/>
    <col min="15" max="15" width="2" bestFit="1" customWidth="1"/>
    <col min="16" max="16" width="5" bestFit="1" customWidth="1"/>
    <col min="17" max="17" width="3" bestFit="1" customWidth="1"/>
    <col min="18" max="18" width="2" bestFit="1" customWidth="1"/>
    <col min="19" max="19" width="3" bestFit="1" customWidth="1"/>
    <col min="20" max="20" width="4" bestFit="1" customWidth="1"/>
    <col min="21" max="21" width="2" bestFit="1" customWidth="1"/>
    <col min="22" max="22" width="4" bestFit="1" customWidth="1"/>
    <col min="23" max="23" width="3" bestFit="1" customWidth="1"/>
    <col min="24" max="25" width="5" bestFit="1" customWidth="1"/>
  </cols>
  <sheetData>
    <row r="1" spans="1:25">
      <c r="A1" s="10" t="s">
        <v>32</v>
      </c>
      <c r="B1" s="16" t="s">
        <v>36</v>
      </c>
      <c r="C1" s="16"/>
      <c r="D1" s="16"/>
      <c r="E1" s="16" t="s">
        <v>37</v>
      </c>
      <c r="F1" s="16"/>
      <c r="G1" s="16"/>
      <c r="H1" s="16" t="s">
        <v>31</v>
      </c>
      <c r="I1" s="16"/>
      <c r="J1" s="16"/>
      <c r="K1" s="16" t="s">
        <v>33</v>
      </c>
      <c r="L1" s="16"/>
      <c r="M1" s="16"/>
      <c r="N1" s="17" t="s">
        <v>35</v>
      </c>
      <c r="O1" s="16"/>
      <c r="P1" s="16"/>
      <c r="Q1" s="16" t="s">
        <v>38</v>
      </c>
      <c r="R1" s="16"/>
      <c r="S1" s="16"/>
      <c r="T1" s="16" t="s">
        <v>39</v>
      </c>
      <c r="U1" s="16"/>
      <c r="V1" s="16"/>
      <c r="W1" s="16" t="s">
        <v>40</v>
      </c>
      <c r="X1" s="16"/>
      <c r="Y1" s="16"/>
    </row>
    <row r="2" spans="1:25">
      <c r="A2" s="1"/>
      <c r="B2" s="1" t="s">
        <v>34</v>
      </c>
      <c r="C2" s="1" t="s">
        <v>9</v>
      </c>
      <c r="D2" s="1"/>
      <c r="E2" t="s">
        <v>34</v>
      </c>
      <c r="F2" s="1" t="s">
        <v>9</v>
      </c>
      <c r="G2" s="1"/>
      <c r="H2" s="1" t="s">
        <v>34</v>
      </c>
      <c r="I2" s="1" t="s">
        <v>9</v>
      </c>
      <c r="J2" s="1"/>
      <c r="K2" s="1" t="s">
        <v>34</v>
      </c>
      <c r="L2" s="1" t="s">
        <v>9</v>
      </c>
      <c r="M2" s="1"/>
      <c r="N2" s="1" t="s">
        <v>34</v>
      </c>
      <c r="O2" s="1" t="s">
        <v>9</v>
      </c>
      <c r="P2" s="1"/>
      <c r="Q2" s="1" t="s">
        <v>34</v>
      </c>
      <c r="R2" s="1" t="s">
        <v>9</v>
      </c>
      <c r="S2" s="1"/>
      <c r="T2" s="1" t="s">
        <v>34</v>
      </c>
      <c r="U2" s="1" t="s">
        <v>9</v>
      </c>
      <c r="V2" s="1"/>
      <c r="W2" s="1" t="s">
        <v>34</v>
      </c>
      <c r="X2" s="1" t="s">
        <v>9</v>
      </c>
      <c r="Y2" s="1"/>
    </row>
    <row r="3" spans="1:25">
      <c r="A3" s="1">
        <v>1</v>
      </c>
      <c r="B3">
        <v>11.6</v>
      </c>
      <c r="C3">
        <v>1</v>
      </c>
      <c r="D3" s="9">
        <f>B3*C3</f>
        <v>11.6</v>
      </c>
      <c r="E3">
        <v>210</v>
      </c>
      <c r="F3">
        <v>1</v>
      </c>
      <c r="G3" s="9">
        <f>E3*F3</f>
        <v>210</v>
      </c>
      <c r="H3">
        <v>20.6</v>
      </c>
      <c r="I3">
        <v>1</v>
      </c>
      <c r="J3" s="9">
        <f>H3*I3</f>
        <v>20.6</v>
      </c>
      <c r="K3">
        <v>20.6</v>
      </c>
      <c r="L3">
        <v>1</v>
      </c>
      <c r="M3" s="9">
        <f>K3*L3</f>
        <v>20.6</v>
      </c>
      <c r="N3">
        <v>20.6</v>
      </c>
      <c r="O3">
        <v>1</v>
      </c>
      <c r="P3" s="9">
        <f>N3*O3</f>
        <v>20.6</v>
      </c>
      <c r="Q3">
        <v>55</v>
      </c>
      <c r="R3">
        <v>1</v>
      </c>
      <c r="S3" s="9">
        <f>Q3*R3</f>
        <v>55</v>
      </c>
      <c r="T3">
        <v>0.4</v>
      </c>
      <c r="U3">
        <v>1</v>
      </c>
      <c r="V3" s="9">
        <f>T3*U3</f>
        <v>0.4</v>
      </c>
      <c r="W3">
        <v>86</v>
      </c>
      <c r="X3">
        <v>0.25</v>
      </c>
      <c r="Y3" s="9">
        <f>W3*X3</f>
        <v>21.5</v>
      </c>
    </row>
    <row r="4" spans="1:25">
      <c r="A4" s="1">
        <v>2</v>
      </c>
      <c r="B4">
        <v>11.5</v>
      </c>
      <c r="C4">
        <v>1</v>
      </c>
      <c r="D4" s="9">
        <f t="shared" ref="D4:D12" si="0">B4*C4</f>
        <v>11.5</v>
      </c>
      <c r="E4">
        <v>190</v>
      </c>
      <c r="F4">
        <v>1</v>
      </c>
      <c r="G4" s="9">
        <f t="shared" ref="G4:G12" si="1">E4*F4</f>
        <v>190</v>
      </c>
      <c r="H4">
        <v>23.4</v>
      </c>
      <c r="I4">
        <v>1</v>
      </c>
      <c r="J4" s="9">
        <f t="shared" ref="J4:J12" si="2">H4*I4</f>
        <v>23.4</v>
      </c>
      <c r="K4">
        <v>36.6</v>
      </c>
      <c r="L4">
        <v>1</v>
      </c>
      <c r="M4" s="9">
        <f t="shared" ref="M4:M12" si="3">K4*L4</f>
        <v>36.6</v>
      </c>
      <c r="N4">
        <v>24.5</v>
      </c>
      <c r="O4">
        <v>1</v>
      </c>
      <c r="P4" s="9">
        <f t="shared" ref="P4:P12" si="4">N4*O4</f>
        <v>24.5</v>
      </c>
    </row>
    <row r="5" spans="1:25">
      <c r="A5" s="1">
        <v>3</v>
      </c>
      <c r="B5">
        <v>11.7</v>
      </c>
      <c r="C5">
        <v>1</v>
      </c>
      <c r="D5" s="9">
        <f t="shared" si="0"/>
        <v>11.7</v>
      </c>
      <c r="E5">
        <v>185</v>
      </c>
      <c r="F5">
        <v>1</v>
      </c>
      <c r="G5" s="9">
        <f t="shared" si="1"/>
        <v>185</v>
      </c>
      <c r="H5">
        <v>27</v>
      </c>
      <c r="I5">
        <v>1</v>
      </c>
      <c r="J5" s="9">
        <f t="shared" si="2"/>
        <v>27</v>
      </c>
      <c r="K5">
        <v>43.7</v>
      </c>
      <c r="L5">
        <v>1</v>
      </c>
      <c r="M5" s="9">
        <f t="shared" si="3"/>
        <v>43.7</v>
      </c>
      <c r="N5">
        <v>29.2</v>
      </c>
      <c r="O5">
        <v>1</v>
      </c>
      <c r="P5" s="9">
        <f t="shared" si="4"/>
        <v>29.2</v>
      </c>
    </row>
    <row r="6" spans="1:25">
      <c r="A6" s="1">
        <v>4</v>
      </c>
      <c r="B6">
        <v>11.85</v>
      </c>
      <c r="C6">
        <v>1</v>
      </c>
      <c r="D6" s="9">
        <f t="shared" si="0"/>
        <v>11.85</v>
      </c>
      <c r="E6">
        <v>180</v>
      </c>
      <c r="F6">
        <v>1</v>
      </c>
      <c r="G6" s="9">
        <f t="shared" si="1"/>
        <v>180</v>
      </c>
      <c r="H6">
        <v>27.5</v>
      </c>
      <c r="I6">
        <v>1</v>
      </c>
      <c r="J6" s="9">
        <f t="shared" si="2"/>
        <v>27.5</v>
      </c>
      <c r="K6">
        <v>49</v>
      </c>
      <c r="L6">
        <v>1</v>
      </c>
      <c r="M6" s="9">
        <f t="shared" si="3"/>
        <v>49</v>
      </c>
      <c r="N6">
        <v>33.5</v>
      </c>
      <c r="O6">
        <v>1</v>
      </c>
      <c r="P6" s="9">
        <f t="shared" si="4"/>
        <v>33.5</v>
      </c>
    </row>
    <row r="7" spans="1:25">
      <c r="A7" s="1">
        <v>5</v>
      </c>
      <c r="B7">
        <v>11.9</v>
      </c>
      <c r="C7">
        <v>1</v>
      </c>
      <c r="D7" s="9">
        <f t="shared" si="0"/>
        <v>11.9</v>
      </c>
      <c r="E7">
        <v>180</v>
      </c>
      <c r="F7">
        <v>1</v>
      </c>
      <c r="G7" s="9">
        <f t="shared" si="1"/>
        <v>180</v>
      </c>
      <c r="H7">
        <v>28</v>
      </c>
      <c r="I7">
        <v>1</v>
      </c>
      <c r="J7" s="9">
        <f t="shared" si="2"/>
        <v>28</v>
      </c>
      <c r="K7">
        <v>52.3</v>
      </c>
      <c r="L7">
        <v>1</v>
      </c>
      <c r="M7" s="9">
        <f t="shared" si="3"/>
        <v>52.3</v>
      </c>
      <c r="N7">
        <v>33.700000000000003</v>
      </c>
      <c r="O7">
        <v>1</v>
      </c>
      <c r="P7" s="9">
        <f t="shared" si="4"/>
        <v>33.700000000000003</v>
      </c>
    </row>
    <row r="8" spans="1:25">
      <c r="A8" s="1">
        <v>6</v>
      </c>
      <c r="B8">
        <v>11.95</v>
      </c>
      <c r="C8">
        <v>1</v>
      </c>
      <c r="D8" s="9">
        <f t="shared" si="0"/>
        <v>11.95</v>
      </c>
      <c r="E8">
        <v>185</v>
      </c>
      <c r="F8">
        <v>1</v>
      </c>
      <c r="G8" s="9">
        <f t="shared" si="1"/>
        <v>185</v>
      </c>
      <c r="H8">
        <v>30.4</v>
      </c>
      <c r="I8">
        <v>1</v>
      </c>
      <c r="J8" s="9">
        <f t="shared" si="2"/>
        <v>30.4</v>
      </c>
      <c r="K8">
        <v>54.5</v>
      </c>
      <c r="L8">
        <v>1</v>
      </c>
      <c r="M8" s="9">
        <f t="shared" si="3"/>
        <v>54.5</v>
      </c>
      <c r="N8">
        <v>34.1</v>
      </c>
      <c r="O8">
        <v>1</v>
      </c>
      <c r="P8" s="9">
        <f t="shared" si="4"/>
        <v>34.1</v>
      </c>
    </row>
    <row r="9" spans="1:25">
      <c r="A9" s="1">
        <v>7</v>
      </c>
      <c r="B9">
        <v>11.95</v>
      </c>
      <c r="C9">
        <v>1</v>
      </c>
      <c r="D9" s="9">
        <f t="shared" si="0"/>
        <v>11.95</v>
      </c>
      <c r="E9">
        <v>185</v>
      </c>
      <c r="F9">
        <v>1</v>
      </c>
      <c r="G9" s="9">
        <f t="shared" si="1"/>
        <v>185</v>
      </c>
      <c r="H9">
        <v>37</v>
      </c>
      <c r="I9">
        <v>1</v>
      </c>
      <c r="J9" s="9">
        <f t="shared" si="2"/>
        <v>37</v>
      </c>
      <c r="K9">
        <v>56.4</v>
      </c>
      <c r="L9">
        <v>1</v>
      </c>
      <c r="M9" s="9">
        <f t="shared" si="3"/>
        <v>56.4</v>
      </c>
      <c r="N9">
        <v>37.5</v>
      </c>
      <c r="O9">
        <v>1</v>
      </c>
      <c r="P9" s="9">
        <f t="shared" si="4"/>
        <v>37.5</v>
      </c>
    </row>
    <row r="10" spans="1:25">
      <c r="A10" s="1">
        <v>8</v>
      </c>
      <c r="B10">
        <v>11.85</v>
      </c>
      <c r="C10">
        <v>1</v>
      </c>
      <c r="D10" s="9">
        <f t="shared" si="0"/>
        <v>11.85</v>
      </c>
      <c r="E10">
        <v>185</v>
      </c>
      <c r="F10">
        <v>1</v>
      </c>
      <c r="G10" s="9">
        <f t="shared" si="1"/>
        <v>185</v>
      </c>
      <c r="H10">
        <v>37.9</v>
      </c>
      <c r="I10">
        <v>1</v>
      </c>
      <c r="J10" s="9">
        <f t="shared" si="2"/>
        <v>37.9</v>
      </c>
      <c r="K10">
        <v>57.7</v>
      </c>
      <c r="L10">
        <v>1</v>
      </c>
      <c r="M10" s="9">
        <f t="shared" si="3"/>
        <v>57.7</v>
      </c>
      <c r="N10">
        <v>38.5</v>
      </c>
      <c r="O10">
        <v>1</v>
      </c>
      <c r="P10" s="9">
        <f t="shared" si="4"/>
        <v>38.5</v>
      </c>
    </row>
    <row r="11" spans="1:25">
      <c r="A11" s="1">
        <v>9</v>
      </c>
      <c r="B11">
        <v>11.8</v>
      </c>
      <c r="C11">
        <v>1</v>
      </c>
      <c r="D11" s="9">
        <f t="shared" si="0"/>
        <v>11.8</v>
      </c>
      <c r="E11">
        <v>175</v>
      </c>
      <c r="F11">
        <v>1</v>
      </c>
      <c r="G11" s="9">
        <f t="shared" si="1"/>
        <v>175</v>
      </c>
      <c r="H11">
        <v>37.200000000000003</v>
      </c>
      <c r="I11">
        <v>1</v>
      </c>
      <c r="J11" s="9">
        <f t="shared" si="2"/>
        <v>37.200000000000003</v>
      </c>
      <c r="K11">
        <v>59</v>
      </c>
      <c r="L11">
        <v>1</v>
      </c>
      <c r="M11" s="9">
        <f t="shared" si="3"/>
        <v>59</v>
      </c>
      <c r="N11">
        <v>37.799999999999997</v>
      </c>
      <c r="O11">
        <v>1</v>
      </c>
      <c r="P11" s="9">
        <f t="shared" si="4"/>
        <v>37.799999999999997</v>
      </c>
    </row>
    <row r="12" spans="1:25">
      <c r="A12" s="1">
        <v>10</v>
      </c>
      <c r="B12">
        <v>11.8</v>
      </c>
      <c r="C12">
        <v>1</v>
      </c>
      <c r="D12" s="9">
        <f t="shared" si="0"/>
        <v>11.8</v>
      </c>
      <c r="E12">
        <v>170</v>
      </c>
      <c r="F12">
        <v>1</v>
      </c>
      <c r="G12" s="9">
        <f t="shared" si="1"/>
        <v>170</v>
      </c>
      <c r="H12">
        <v>39.9</v>
      </c>
      <c r="I12">
        <v>1</v>
      </c>
      <c r="J12" s="9">
        <f t="shared" si="2"/>
        <v>39.9</v>
      </c>
      <c r="K12">
        <v>61.3</v>
      </c>
      <c r="L12">
        <v>1</v>
      </c>
      <c r="M12" s="9">
        <f t="shared" si="3"/>
        <v>61.3</v>
      </c>
      <c r="N12">
        <v>43.3</v>
      </c>
      <c r="O12">
        <v>1</v>
      </c>
      <c r="P12" s="9">
        <f t="shared" si="4"/>
        <v>43.3</v>
      </c>
    </row>
    <row r="15" spans="1:25">
      <c r="A15" s="1" t="s">
        <v>23</v>
      </c>
      <c r="B15">
        <v>20.6</v>
      </c>
    </row>
    <row r="16" spans="1:25">
      <c r="A16" s="1" t="s">
        <v>24</v>
      </c>
      <c r="B16">
        <v>56.3</v>
      </c>
    </row>
    <row r="17" spans="1:2">
      <c r="A17" s="1" t="s">
        <v>25</v>
      </c>
      <c r="B17">
        <v>3.3</v>
      </c>
    </row>
    <row r="18" spans="1:2">
      <c r="A18" s="1" t="s">
        <v>27</v>
      </c>
      <c r="B18">
        <v>75</v>
      </c>
    </row>
    <row r="19" spans="1:2">
      <c r="A19" s="1" t="s">
        <v>24</v>
      </c>
      <c r="B19">
        <f>$B$16*(235+75)/(235+20.6)</f>
        <v>68.282472613458523</v>
      </c>
    </row>
    <row r="20" spans="1:2">
      <c r="A20" s="1" t="s">
        <v>25</v>
      </c>
      <c r="B20">
        <f>$B$17*(235+75)/(235+20.6)</f>
        <v>4.002347417840376</v>
      </c>
    </row>
    <row r="21" spans="1:2">
      <c r="A21" s="1" t="s">
        <v>11</v>
      </c>
      <c r="B21" s="14">
        <f>$S$3/660*(0.45/0.4)</f>
        <v>9.375E-2</v>
      </c>
    </row>
    <row r="22" spans="1:2">
      <c r="A22" s="1" t="s">
        <v>12</v>
      </c>
      <c r="B22" s="14">
        <f>$Y$3/297*(0.45^2/0.4^2)</f>
        <v>9.1619318181818177E-2</v>
      </c>
    </row>
    <row r="23" spans="1:2">
      <c r="A23" s="1" t="s">
        <v>13</v>
      </c>
      <c r="B23" s="14">
        <f>($B$21^2-$B$22^2)^(1/2)</f>
        <v>1.9873676959706307E-2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2"/>
  <sheetViews>
    <sheetView topLeftCell="A88" workbookViewId="0">
      <selection activeCell="I105" sqref="I105"/>
    </sheetView>
  </sheetViews>
  <sheetFormatPr defaultRowHeight="15"/>
  <cols>
    <col min="13" max="13" width="4" bestFit="1" customWidth="1"/>
    <col min="14" max="14" width="7.140625" bestFit="1" customWidth="1"/>
  </cols>
  <sheetData>
    <row r="1" spans="1:9">
      <c r="A1" s="1" t="s">
        <v>0</v>
      </c>
      <c r="B1">
        <v>660</v>
      </c>
      <c r="C1" t="s">
        <v>5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1" t="s">
        <v>1</v>
      </c>
      <c r="B2">
        <v>110</v>
      </c>
      <c r="C2" t="s">
        <v>5</v>
      </c>
      <c r="E2">
        <v>0</v>
      </c>
      <c r="F2">
        <f>-((1-E2^2)^(1/2))</f>
        <v>-1</v>
      </c>
      <c r="G2" s="2">
        <f>$B$8*E2+$B$9*F2</f>
        <v>-1.9962527395097043E-2</v>
      </c>
      <c r="H2" s="2">
        <f>$B$9*E2-$B$8*F2</f>
        <v>9.1600000000000001E-2</v>
      </c>
      <c r="I2" s="2">
        <f>$B$10*G2+$B$10^2*H2^2/200</f>
        <v>-1.9920574595097041E-2</v>
      </c>
    </row>
    <row r="3" spans="1:9">
      <c r="A3" s="1" t="s">
        <v>2</v>
      </c>
      <c r="B3">
        <v>297</v>
      </c>
      <c r="C3" t="s">
        <v>6</v>
      </c>
      <c r="E3">
        <v>0.01</v>
      </c>
      <c r="F3">
        <f t="shared" ref="F3:F66" si="0">-((1-E3^2)^(1/2))</f>
        <v>-0.99994999874993751</v>
      </c>
      <c r="G3" s="2">
        <f t="shared" ref="G3:G66" si="1">$B$8*E3+$B$9*F3</f>
        <v>-1.9045529243772882E-2</v>
      </c>
      <c r="H3" s="2">
        <f t="shared" ref="H3:H66" si="2">$B$9*E3-$B$8*F3</f>
        <v>9.179504515944524E-2</v>
      </c>
      <c r="I3" s="2">
        <f t="shared" ref="I3:I66" si="3">$B$10*G3+$B$10^2*H3^2/200</f>
        <v>-1.9003397592193761E-2</v>
      </c>
    </row>
    <row r="4" spans="1:9">
      <c r="A4" s="1" t="s">
        <v>3</v>
      </c>
      <c r="B4">
        <v>55</v>
      </c>
      <c r="C4" t="s">
        <v>5</v>
      </c>
      <c r="E4">
        <v>0.02</v>
      </c>
      <c r="F4">
        <f t="shared" si="0"/>
        <v>-0.99979997999599901</v>
      </c>
      <c r="G4" s="2">
        <f t="shared" si="1"/>
        <v>-1.8126534490287605E-2</v>
      </c>
      <c r="H4" s="2">
        <f t="shared" si="2"/>
        <v>9.198092871553544E-2</v>
      </c>
      <c r="I4" s="2">
        <f t="shared" si="3"/>
        <v>-1.8084232034050744E-2</v>
      </c>
    </row>
    <row r="5" spans="1:9">
      <c r="A5" s="1" t="s">
        <v>4</v>
      </c>
      <c r="B5">
        <f>86*0.25</f>
        <v>21.5</v>
      </c>
      <c r="C5" t="s">
        <v>10</v>
      </c>
      <c r="E5">
        <v>0.03</v>
      </c>
      <c r="F5">
        <f t="shared" si="0"/>
        <v>-0.9995498987044118</v>
      </c>
      <c r="G5" s="2">
        <f t="shared" si="1"/>
        <v>-1.7205542235653293E-2</v>
      </c>
      <c r="H5" s="2">
        <f t="shared" si="2"/>
        <v>9.2157646543177041E-2</v>
      </c>
      <c r="I5" s="2">
        <f t="shared" si="3"/>
        <v>-1.7163077076571408E-2</v>
      </c>
    </row>
    <row r="6" spans="1:9">
      <c r="A6" s="1" t="s">
        <v>7</v>
      </c>
      <c r="B6">
        <v>0.4</v>
      </c>
      <c r="E6">
        <v>0.04</v>
      </c>
      <c r="F6">
        <f t="shared" si="0"/>
        <v>-0.99919967974374369</v>
      </c>
      <c r="G6" s="2">
        <f t="shared" si="1"/>
        <v>-1.6282550980056675E-2</v>
      </c>
      <c r="H6" s="2">
        <f t="shared" si="2"/>
        <v>9.2325191760330813E-2</v>
      </c>
      <c r="I6" s="2">
        <f t="shared" si="3"/>
        <v>-1.6239931274888764E-2</v>
      </c>
    </row>
    <row r="7" spans="1:9">
      <c r="A7" s="8" t="s">
        <v>11</v>
      </c>
      <c r="B7" s="15">
        <v>9.375E-2</v>
      </c>
      <c r="E7">
        <v>0.05</v>
      </c>
      <c r="F7">
        <f t="shared" si="0"/>
        <v>-0.99874921777190895</v>
      </c>
      <c r="G7" s="2">
        <f t="shared" si="1"/>
        <v>-1.5357558620603475E-2</v>
      </c>
      <c r="H7" s="2">
        <f t="shared" si="2"/>
        <v>9.2483554717661717E-2</v>
      </c>
      <c r="I7" s="2">
        <f t="shared" si="3"/>
        <v>-1.5314792581137401E-2</v>
      </c>
    </row>
    <row r="8" spans="1:9">
      <c r="A8" s="8" t="s">
        <v>12</v>
      </c>
      <c r="B8" s="7">
        <v>9.1600000000000001E-2</v>
      </c>
      <c r="E8">
        <v>0.06</v>
      </c>
      <c r="F8">
        <f t="shared" si="0"/>
        <v>-0.99819837707742243</v>
      </c>
      <c r="G8" s="2">
        <f t="shared" si="1"/>
        <v>-1.4430562448149453E-2</v>
      </c>
      <c r="H8" s="2">
        <f t="shared" si="2"/>
        <v>9.2632722983997717E-2</v>
      </c>
      <c r="I8" s="2">
        <f t="shared" si="3"/>
        <v>-1.4387658341312302E-2</v>
      </c>
    </row>
    <row r="9" spans="1:9">
      <c r="A9" s="8" t="s">
        <v>13</v>
      </c>
      <c r="B9" s="7">
        <f>($B$7^2-$B$8^2)^(1/2)</f>
        <v>1.9962527395097043E-2</v>
      </c>
      <c r="E9">
        <v>7.0000000000000007E-2</v>
      </c>
      <c r="F9">
        <f t="shared" si="0"/>
        <v>-0.99754699137434122</v>
      </c>
      <c r="G9" s="2">
        <f t="shared" si="1"/>
        <v>-1.3501559143206918E-2</v>
      </c>
      <c r="H9" s="2">
        <f t="shared" si="2"/>
        <v>9.2772681327546444E-2</v>
      </c>
      <c r="I9" s="2">
        <f t="shared" si="3"/>
        <v>-1.3458525291203406E-2</v>
      </c>
    </row>
    <row r="10" spans="1:9">
      <c r="A10" s="1" t="s">
        <v>14</v>
      </c>
      <c r="B10">
        <v>1</v>
      </c>
      <c r="E10">
        <v>0.08</v>
      </c>
      <c r="F10">
        <f t="shared" si="0"/>
        <v>-0.996794863550169</v>
      </c>
      <c r="G10" s="2">
        <f t="shared" si="1"/>
        <v>-1.2570544770912268E-2</v>
      </c>
      <c r="H10" s="2">
        <f t="shared" si="2"/>
        <v>9.2903411692803237E-2</v>
      </c>
      <c r="I10" s="2">
        <f t="shared" si="3"/>
        <v>-1.2527389551391455E-2</v>
      </c>
    </row>
    <row r="11" spans="1:9">
      <c r="A11" s="1" t="s">
        <v>26</v>
      </c>
      <c r="B11">
        <f>($B$5/$B$4)/0.4</f>
        <v>0.97727272727272729</v>
      </c>
      <c r="E11">
        <v>0.09</v>
      </c>
      <c r="F11">
        <f t="shared" si="0"/>
        <v>-0.99594176536582701</v>
      </c>
      <c r="G11" s="2">
        <f t="shared" si="1"/>
        <v>-1.1637514775036632E-2</v>
      </c>
      <c r="H11" s="2">
        <f t="shared" si="2"/>
        <v>9.3024893173068501E-2</v>
      </c>
      <c r="I11" s="2">
        <f t="shared" si="3"/>
        <v>-1.1594246621287328E-2</v>
      </c>
    </row>
    <row r="12" spans="1:9">
      <c r="A12" s="1" t="s">
        <v>28</v>
      </c>
      <c r="B12">
        <f>$B$4/$B$6</f>
        <v>137.5</v>
      </c>
      <c r="E12">
        <v>0.1</v>
      </c>
      <c r="F12">
        <f t="shared" si="0"/>
        <v>-0.99498743710661997</v>
      </c>
      <c r="G12" s="2">
        <f t="shared" si="1"/>
        <v>-1.0702463971018298E-2</v>
      </c>
      <c r="H12" s="2">
        <f t="shared" si="2"/>
        <v>9.3137101978476092E-2</v>
      </c>
      <c r="I12" s="2">
        <f t="shared" si="3"/>
        <v>-1.0659091372193553E-2</v>
      </c>
    </row>
    <row r="13" spans="1:9">
      <c r="A13" s="1" t="s">
        <v>29</v>
      </c>
      <c r="B13">
        <f>$B$12*$B$11</f>
        <v>134.375</v>
      </c>
      <c r="E13">
        <v>0.11</v>
      </c>
      <c r="F13">
        <f t="shared" si="0"/>
        <v>-0.99393158718294083</v>
      </c>
      <c r="G13" s="2">
        <f t="shared" si="1"/>
        <v>-9.7653865379917406E-3</v>
      </c>
      <c r="H13" s="2">
        <f t="shared" si="2"/>
        <v>9.3240011399418052E-2</v>
      </c>
      <c r="I13" s="2">
        <f t="shared" si="3"/>
        <v>-9.7219180393629222E-3</v>
      </c>
    </row>
    <row r="14" spans="1:9">
      <c r="A14" s="1" t="s">
        <v>30</v>
      </c>
      <c r="B14">
        <f>$B$12*(1-$B$11^2)^(1/2)</f>
        <v>29.14805954090254</v>
      </c>
      <c r="E14">
        <v>0.12</v>
      </c>
      <c r="F14">
        <f t="shared" si="0"/>
        <v>-0.99277389167926855</v>
      </c>
      <c r="G14" s="2">
        <f t="shared" si="1"/>
        <v>-8.8262760097845023E-3</v>
      </c>
      <c r="H14" s="2">
        <f t="shared" si="2"/>
        <v>9.3333591765232649E-2</v>
      </c>
      <c r="I14" s="2">
        <f t="shared" si="3"/>
        <v>-8.782720213025506E-3</v>
      </c>
    </row>
    <row r="15" spans="1:9">
      <c r="E15">
        <v>0.13</v>
      </c>
      <c r="F15">
        <f t="shared" si="0"/>
        <v>-0.99151399384980943</v>
      </c>
      <c r="G15" s="2">
        <f t="shared" si="1"/>
        <v>-7.8851252648489013E-3</v>
      </c>
      <c r="H15" s="2">
        <f t="shared" si="2"/>
        <v>9.3417810398005161E-2</v>
      </c>
      <c r="I15" s="2">
        <f t="shared" si="3"/>
        <v>-7.841490828351113E-3</v>
      </c>
    </row>
    <row r="16" spans="1:9">
      <c r="E16">
        <v>0.14000000000000001</v>
      </c>
      <c r="F16">
        <f t="shared" si="0"/>
        <v>-0.99015150355892512</v>
      </c>
      <c r="G16" s="2">
        <f t="shared" si="1"/>
        <v>-6.9419265150915677E-3</v>
      </c>
      <c r="H16" s="2">
        <f t="shared" si="2"/>
        <v>9.3492631561311129E-2</v>
      </c>
      <c r="I16" s="2">
        <f t="shared" si="3"/>
        <v>-6.8982221543102719E-3</v>
      </c>
    </row>
    <row r="17" spans="5:9">
      <c r="E17">
        <v>0.15</v>
      </c>
      <c r="F17">
        <f t="shared" si="0"/>
        <v>-0.98868599666425949</v>
      </c>
      <c r="G17" s="2">
        <f t="shared" si="1"/>
        <v>-5.9966712935591044E-3</v>
      </c>
      <c r="H17" s="2">
        <f t="shared" si="2"/>
        <v>9.3558016403710725E-2</v>
      </c>
      <c r="I17" s="2">
        <f t="shared" si="3"/>
        <v>-5.9529057813921191E-3</v>
      </c>
    </row>
    <row r="18" spans="5:9">
      <c r="E18">
        <v>0.16</v>
      </c>
      <c r="F18">
        <f t="shared" si="0"/>
        <v>-0.98711701434024535</v>
      </c>
      <c r="G18" s="2">
        <f t="shared" si="1"/>
        <v>-5.0493504409335459E-3</v>
      </c>
      <c r="H18" s="2">
        <f t="shared" si="2"/>
        <v>9.3613922896781998E-2</v>
      </c>
      <c r="I18" s="2">
        <f t="shared" si="3"/>
        <v>-5.0055326081329225E-3</v>
      </c>
    </row>
    <row r="19" spans="5:9">
      <c r="E19">
        <v>0.17</v>
      </c>
      <c r="F19">
        <f t="shared" si="0"/>
        <v>-0.98544406233941051</v>
      </c>
      <c r="G19" s="2">
        <f t="shared" si="1"/>
        <v>-4.0999540907861991E-3</v>
      </c>
      <c r="H19" s="2">
        <f t="shared" si="2"/>
        <v>9.36603057674565E-2</v>
      </c>
      <c r="I19" s="2">
        <f t="shared" si="3"/>
        <v>-4.0560928264039321E-3</v>
      </c>
    </row>
    <row r="20" spans="5:9">
      <c r="E20">
        <v>0.18</v>
      </c>
      <c r="F20">
        <f t="shared" si="0"/>
        <v>-0.98366661018863499</v>
      </c>
      <c r="G20" s="2">
        <f t="shared" si="1"/>
        <v>-3.1484716535328701E-3</v>
      </c>
      <c r="H20" s="2">
        <f t="shared" si="2"/>
        <v>9.3697116424396432E-2</v>
      </c>
      <c r="I20" s="2">
        <f t="shared" si="3"/>
        <v>-3.1045759054016357E-3</v>
      </c>
    </row>
    <row r="21" spans="5:9">
      <c r="E21">
        <v>0.19</v>
      </c>
      <c r="F21">
        <f t="shared" si="0"/>
        <v>-0.98178409031721425</v>
      </c>
      <c r="G21" s="2">
        <f t="shared" si="1"/>
        <v>-2.1948917990278205E-3</v>
      </c>
      <c r="H21" s="2">
        <f t="shared" si="2"/>
        <v>9.3724302878125262E-2</v>
      </c>
      <c r="I21" s="2">
        <f t="shared" si="3"/>
        <v>-2.1509705742778678E-3</v>
      </c>
    </row>
    <row r="22" spans="5:9">
      <c r="E22">
        <v>0.2</v>
      </c>
      <c r="F22">
        <f t="shared" si="0"/>
        <v>-0.9797958971132712</v>
      </c>
      <c r="G22" s="2">
        <f t="shared" si="1"/>
        <v>-1.2392024377273596E-3</v>
      </c>
      <c r="H22" s="2">
        <f t="shared" si="2"/>
        <v>9.3741809654595054E-2</v>
      </c>
      <c r="I22" s="2">
        <f t="shared" si="3"/>
        <v>-1.195264803340768E-3</v>
      </c>
    </row>
    <row r="23" spans="5:9">
      <c r="E23">
        <v>0.21</v>
      </c>
      <c r="F23">
        <f t="shared" si="0"/>
        <v>-0.97770138590471478</v>
      </c>
      <c r="G23" s="2">
        <f t="shared" si="1"/>
        <v>-2.8139070034721367E-4</v>
      </c>
      <c r="H23" s="2">
        <f t="shared" si="2"/>
        <v>9.3749577701842252E-2</v>
      </c>
      <c r="I23" s="2">
        <f t="shared" si="3"/>
        <v>-2.3744578375084488E-4</v>
      </c>
    </row>
    <row r="24" spans="5:9">
      <c r="E24">
        <v>0.22</v>
      </c>
      <c r="F24">
        <f t="shared" si="0"/>
        <v>-0.97549987186057585</v>
      </c>
      <c r="G24" s="2">
        <f t="shared" si="1"/>
        <v>6.7855708406959828E-4</v>
      </c>
      <c r="H24" s="2">
        <f t="shared" si="2"/>
        <v>9.3747544289350102E-2</v>
      </c>
      <c r="I24" s="2">
        <f t="shared" si="3"/>
        <v>7.2250009437101659E-4</v>
      </c>
    </row>
    <row r="25" spans="5:9">
      <c r="E25">
        <v>0.23</v>
      </c>
      <c r="F25">
        <f t="shared" si="0"/>
        <v>-0.97319062880814877</v>
      </c>
      <c r="G25" s="2">
        <f t="shared" si="1"/>
        <v>1.6406554117656125E-3</v>
      </c>
      <c r="H25" s="2">
        <f t="shared" si="2"/>
        <v>9.3735642899698754E-2</v>
      </c>
      <c r="I25" s="2">
        <f t="shared" si="3"/>
        <v>1.6845872655147118E-3</v>
      </c>
    </row>
    <row r="26" spans="5:9">
      <c r="E26">
        <v>0.24</v>
      </c>
      <c r="F26">
        <f t="shared" si="0"/>
        <v>-0.97077288796092776</v>
      </c>
      <c r="G26" s="2">
        <f t="shared" si="1"/>
        <v>2.6049196296625068E-3</v>
      </c>
      <c r="H26" s="2">
        <f t="shared" si="2"/>
        <v>9.3713803112044275E-2</v>
      </c>
      <c r="I26" s="2">
        <f t="shared" si="3"/>
        <v>2.648831014131122E-3</v>
      </c>
    </row>
    <row r="27" spans="5:9">
      <c r="E27">
        <v>0.25</v>
      </c>
      <c r="F27">
        <f t="shared" si="0"/>
        <v>-0.96824583655185426</v>
      </c>
      <c r="G27" s="2">
        <f t="shared" si="1"/>
        <v>3.5713659626449568E-3</v>
      </c>
      <c r="H27" s="2">
        <f t="shared" si="2"/>
        <v>9.3681950476924111E-2</v>
      </c>
      <c r="I27" s="2">
        <f t="shared" si="3"/>
        <v>3.6152475018707609E-3</v>
      </c>
    </row>
    <row r="28" spans="5:9">
      <c r="E28">
        <v>0.26</v>
      </c>
      <c r="F28">
        <f t="shared" si="0"/>
        <v>-0.96560861636586492</v>
      </c>
      <c r="G28" s="2">
        <f t="shared" si="1"/>
        <v>4.540011542854671E-3</v>
      </c>
      <c r="H28" s="2">
        <f t="shared" si="2"/>
        <v>9.3640006381838461E-2</v>
      </c>
      <c r="I28" s="2">
        <f t="shared" si="3"/>
        <v>4.5838537968306246E-3</v>
      </c>
    </row>
    <row r="29" spans="5:9">
      <c r="E29">
        <v>0.27</v>
      </c>
      <c r="F29">
        <f t="shared" si="0"/>
        <v>-0.96286032216516226</v>
      </c>
      <c r="G29" s="2">
        <f t="shared" si="1"/>
        <v>5.5108744411259854E-3</v>
      </c>
      <c r="H29" s="2">
        <f t="shared" si="2"/>
        <v>9.3587887907005063E-2</v>
      </c>
      <c r="I29" s="2">
        <f t="shared" si="3"/>
        <v>5.554667904940456E-3</v>
      </c>
    </row>
    <row r="30" spans="5:9">
      <c r="E30">
        <v>0.28000000000000003</v>
      </c>
      <c r="F30">
        <f t="shared" si="0"/>
        <v>-0.96</v>
      </c>
      <c r="G30" s="2">
        <f t="shared" si="1"/>
        <v>6.4839737007068438E-3</v>
      </c>
      <c r="H30" s="2">
        <f t="shared" si="2"/>
        <v>9.3525507670627173E-2</v>
      </c>
      <c r="I30" s="2">
        <f t="shared" si="3"/>
        <v>6.5277088036320863E-3</v>
      </c>
    </row>
    <row r="31" spans="5:9">
      <c r="E31">
        <v>0.28999999999999998</v>
      </c>
      <c r="F31">
        <f t="shared" si="0"/>
        <v>-0.95702664539708615</v>
      </c>
      <c r="G31" s="2">
        <f t="shared" si="1"/>
        <v>7.4593293734228419E-3</v>
      </c>
      <c r="H31" s="2">
        <f t="shared" si="2"/>
        <v>9.3452773662951238E-2</v>
      </c>
      <c r="I31" s="2">
        <f t="shared" si="3"/>
        <v>7.502996477949336E-3</v>
      </c>
    </row>
    <row r="32" spans="5:9">
      <c r="E32">
        <v>0.3</v>
      </c>
      <c r="F32">
        <f t="shared" si="0"/>
        <v>-0.95393920141694566</v>
      </c>
      <c r="G32" s="2">
        <f t="shared" si="1"/>
        <v>8.4369625584572276E-3</v>
      </c>
      <c r="H32" s="2">
        <f t="shared" si="2"/>
        <v>9.3369589068321338E-2</v>
      </c>
      <c r="I32" s="2">
        <f t="shared" si="3"/>
        <v>8.4805519592711636E-3</v>
      </c>
    </row>
    <row r="33" spans="5:17">
      <c r="E33">
        <v>0.31</v>
      </c>
      <c r="F33">
        <f t="shared" si="0"/>
        <v>-0.95073655657074641</v>
      </c>
      <c r="G33" s="2">
        <f t="shared" si="1"/>
        <v>9.4168954439362469E-3</v>
      </c>
      <c r="H33" s="2">
        <f t="shared" si="2"/>
        <v>9.3275852074360455E-2</v>
      </c>
      <c r="I33" s="2">
        <f t="shared" si="3"/>
        <v>9.4603973668372365E-3</v>
      </c>
    </row>
    <row r="34" spans="5:17">
      <c r="E34">
        <v>0.32</v>
      </c>
      <c r="F34">
        <f t="shared" si="0"/>
        <v>-0.94741754258616084</v>
      </c>
      <c r="G34" s="2">
        <f t="shared" si="1"/>
        <v>1.0399151351528246E-2</v>
      </c>
      <c r="H34" s="2">
        <f t="shared" si="2"/>
        <v>9.3171455667323391E-2</v>
      </c>
      <c r="I34" s="2">
        <f t="shared" si="3"/>
        <v>1.0442555952284086E-2</v>
      </c>
    </row>
    <row r="35" spans="5:17">
      <c r="E35">
        <v>0.33</v>
      </c>
      <c r="F35">
        <f t="shared" si="0"/>
        <v>-0.94398093201081135</v>
      </c>
      <c r="G35" s="2">
        <f t="shared" si="1"/>
        <v>1.1383754784284942E-2</v>
      </c>
      <c r="H35" s="2">
        <f t="shared" si="2"/>
        <v>9.3056287412572353E-2</v>
      </c>
      <c r="I35" s="2">
        <f t="shared" si="3"/>
        <v>1.1427052147419998E-2</v>
      </c>
    </row>
    <row r="36" spans="5:17">
      <c r="E36">
        <v>0.34</v>
      </c>
      <c r="F36">
        <f t="shared" si="0"/>
        <v>-0.9404254356406998</v>
      </c>
      <c r="G36" s="2">
        <f t="shared" si="1"/>
        <v>1.237073147797646E-2</v>
      </c>
      <c r="H36" s="2">
        <f t="shared" si="2"/>
        <v>9.2930229219021096E-2</v>
      </c>
      <c r="I36" s="2">
        <f t="shared" si="3"/>
        <v>1.2413911615489959E-2</v>
      </c>
    </row>
    <row r="37" spans="5:17">
      <c r="E37">
        <v>0.35</v>
      </c>
      <c r="F37">
        <f t="shared" si="0"/>
        <v>-0.93674969975975975</v>
      </c>
      <c r="G37" s="2">
        <f t="shared" si="1"/>
        <v>1.3360108456196864E-2</v>
      </c>
      <c r="H37" s="2">
        <f t="shared" si="2"/>
        <v>9.2793157086277958E-2</v>
      </c>
      <c r="I37" s="2">
        <f t="shared" si="3"/>
        <v>1.3403161306207056E-2</v>
      </c>
    </row>
    <row r="38" spans="5:17">
      <c r="E38">
        <v>0.36</v>
      </c>
      <c r="F38">
        <f t="shared" si="0"/>
        <v>-0.93295230317524813</v>
      </c>
      <c r="G38" s="2">
        <f t="shared" si="1"/>
        <v>1.4351914089545226E-2</v>
      </c>
      <c r="H38" s="2">
        <f t="shared" si="2"/>
        <v>9.2644940833087663E-2</v>
      </c>
      <c r="I38" s="2">
        <f t="shared" si="3"/>
        <v>1.4394829514855058E-2</v>
      </c>
    </row>
    <row r="39" spans="5:17">
      <c r="E39">
        <v>0.37</v>
      </c>
      <c r="F39">
        <f t="shared" si="0"/>
        <v>-0.92903175403212135</v>
      </c>
      <c r="G39" s="2">
        <f t="shared" si="1"/>
        <v>1.534617815921872E-2</v>
      </c>
      <c r="H39" s="2">
        <f t="shared" si="2"/>
        <v>9.2485443805528228E-2</v>
      </c>
      <c r="I39" s="2">
        <f t="shared" si="3"/>
        <v>1.5388945945798248E-2</v>
      </c>
    </row>
    <row r="40" spans="5:17">
      <c r="E40">
        <v>0.38</v>
      </c>
      <c r="F40">
        <f t="shared" si="0"/>
        <v>-0.92498648638777425</v>
      </c>
      <c r="G40" s="2">
        <f t="shared" si="1"/>
        <v>1.6342931925389496E-2</v>
      </c>
      <c r="H40" s="2">
        <f t="shared" si="2"/>
        <v>9.2314522563257007E-2</v>
      </c>
      <c r="I40" s="2">
        <f t="shared" si="3"/>
        <v>1.6385541780769907E-2</v>
      </c>
    </row>
    <row r="41" spans="5:17">
      <c r="E41">
        <v>0.39</v>
      </c>
      <c r="F41">
        <f t="shared" si="0"/>
        <v>-0.92081485652654405</v>
      </c>
      <c r="G41" s="2">
        <f t="shared" si="1"/>
        <v>1.7342208200776511E-2</v>
      </c>
      <c r="H41" s="2">
        <f t="shared" si="2"/>
        <v>9.2132026541919279E-2</v>
      </c>
      <c r="I41" s="2">
        <f t="shared" si="3"/>
        <v>1.7384649752350115E-2</v>
      </c>
      <c r="O41" s="2"/>
      <c r="P41" s="2"/>
      <c r="Q41" s="2"/>
    </row>
    <row r="42" spans="5:17">
      <c r="E42">
        <v>0.4</v>
      </c>
      <c r="F42">
        <f t="shared" si="0"/>
        <v>-0.91651513899116799</v>
      </c>
      <c r="G42" s="2">
        <f t="shared" si="1"/>
        <v>1.8344041429867633E-2</v>
      </c>
      <c r="H42" s="2">
        <f t="shared" si="2"/>
        <v>9.1937797689629799E-2</v>
      </c>
      <c r="I42" s="2">
        <f t="shared" si="3"/>
        <v>1.8386304223087728E-2</v>
      </c>
    </row>
    <row r="43" spans="5:17">
      <c r="E43">
        <v>0.41</v>
      </c>
      <c r="F43">
        <f t="shared" si="0"/>
        <v>-0.91208552230588558</v>
      </c>
      <c r="G43" s="2">
        <f t="shared" si="1"/>
        <v>1.9348467774297363E-2</v>
      </c>
      <c r="H43" s="2">
        <f t="shared" si="2"/>
        <v>9.173167007520891E-2</v>
      </c>
      <c r="I43" s="2">
        <f t="shared" si="3"/>
        <v>1.9390541270771298E-2</v>
      </c>
    </row>
    <row r="44" spans="5:17">
      <c r="E44">
        <v>0.42</v>
      </c>
      <c r="F44">
        <f t="shared" si="0"/>
        <v>-0.90752410436307418</v>
      </c>
      <c r="G44" s="2">
        <f t="shared" si="1"/>
        <v>2.0355525204941223E-2</v>
      </c>
      <c r="H44" s="2">
        <f t="shared" si="2"/>
        <v>9.1513469465598352E-2</v>
      </c>
      <c r="I44" s="2">
        <f t="shared" si="3"/>
        <v>2.0397398780409377E-2</v>
      </c>
    </row>
    <row r="45" spans="5:17">
      <c r="E45">
        <v>0.43</v>
      </c>
      <c r="F45">
        <f t="shared" si="0"/>
        <v>-0.90282888744213319</v>
      </c>
      <c r="G45" s="2">
        <f t="shared" si="1"/>
        <v>2.1365253601351431E-2</v>
      </c>
      <c r="H45" s="2">
        <f t="shared" si="2"/>
        <v>9.1283012869591132E-2</v>
      </c>
      <c r="I45" s="2">
        <f t="shared" si="3"/>
        <v>2.140691654354418E-2</v>
      </c>
    </row>
    <row r="46" spans="5:17">
      <c r="E46">
        <v>0.44</v>
      </c>
      <c r="F46">
        <f t="shared" si="0"/>
        <v>-0.89799777282574589</v>
      </c>
      <c r="G46" s="2">
        <f t="shared" si="1"/>
        <v>2.2377694859229916E-2</v>
      </c>
      <c r="H46" s="2">
        <f t="shared" si="2"/>
        <v>9.1040108044681031E-2</v>
      </c>
      <c r="I46" s="2">
        <f t="shared" si="3"/>
        <v>2.2419136365593853E-2</v>
      </c>
    </row>
    <row r="47" spans="5:17">
      <c r="E47">
        <v>0.45</v>
      </c>
      <c r="F47">
        <f t="shared" si="0"/>
        <v>-0.89302855497458755</v>
      </c>
      <c r="G47" s="2">
        <f t="shared" si="1"/>
        <v>2.3392893006715869E-2</v>
      </c>
      <c r="H47" s="2">
        <f t="shared" si="2"/>
        <v>9.0784552963465895E-2</v>
      </c>
      <c r="I47" s="2">
        <f t="shared" si="3"/>
        <v>2.343410218199975E-2</v>
      </c>
    </row>
    <row r="48" spans="5:17">
      <c r="E48">
        <v>0.46</v>
      </c>
      <c r="F48">
        <f t="shared" si="0"/>
        <v>-0.88791891521692456</v>
      </c>
      <c r="G48" s="2">
        <f t="shared" si="1"/>
        <v>2.4410894330357296E-2</v>
      </c>
      <c r="H48" s="2">
        <f t="shared" si="2"/>
        <v>9.0516135235614928E-2</v>
      </c>
      <c r="I48" s="2">
        <f t="shared" si="3"/>
        <v>2.4451860184047255E-2</v>
      </c>
    </row>
    <row r="49" spans="5:9">
      <c r="E49">
        <v>0.47</v>
      </c>
      <c r="F49">
        <f t="shared" si="0"/>
        <v>-0.88266641490429443</v>
      </c>
      <c r="G49" s="2">
        <f t="shared" si="1"/>
        <v>2.5431747511740928E-2</v>
      </c>
      <c r="H49" s="2">
        <f t="shared" si="2"/>
        <v>9.0234631480928973E-2</v>
      </c>
      <c r="I49" s="2">
        <f t="shared" si="3"/>
        <v>2.5472458955333423E-2</v>
      </c>
    </row>
    <row r="50" spans="5:9">
      <c r="E50">
        <v>0.48</v>
      </c>
      <c r="F50">
        <f t="shared" si="0"/>
        <v>-0.87726848797845236</v>
      </c>
      <c r="G50" s="2">
        <f t="shared" si="1"/>
        <v>2.6455503775874783E-2</v>
      </c>
      <c r="H50" s="2">
        <f t="shared" si="2"/>
        <v>8.9939806648472814E-2</v>
      </c>
      <c r="I50" s="2">
        <f t="shared" si="3"/>
        <v>2.6495949619974608E-2</v>
      </c>
    </row>
    <row r="51" spans="5:9">
      <c r="E51">
        <v>0.49</v>
      </c>
      <c r="F51">
        <f t="shared" si="0"/>
        <v>-0.87172243288790041</v>
      </c>
      <c r="G51" s="2">
        <f t="shared" si="1"/>
        <v>2.7482217052554644E-2</v>
      </c>
      <c r="H51" s="2">
        <f t="shared" si="2"/>
        <v>8.9631413276129238E-2</v>
      </c>
      <c r="I51" s="2">
        <f t="shared" si="3"/>
        <v>2.7522386003784025E-2</v>
      </c>
    </row>
    <row r="52" spans="5:9">
      <c r="E52">
        <v>0.5</v>
      </c>
      <c r="F52">
        <f t="shared" si="0"/>
        <v>-0.8660254037844386</v>
      </c>
      <c r="G52" s="2">
        <f t="shared" si="1"/>
        <v>2.8511944152103168E-2</v>
      </c>
      <c r="H52" s="2">
        <f t="shared" si="2"/>
        <v>8.9309190684203094E-2</v>
      </c>
      <c r="I52" s="2">
        <f t="shared" si="3"/>
        <v>2.8551824809806503E-2</v>
      </c>
    </row>
    <row r="53" spans="5:9">
      <c r="E53">
        <v>0.51</v>
      </c>
      <c r="F53">
        <f t="shared" si="0"/>
        <v>-0.86017440092111552</v>
      </c>
      <c r="G53" s="2">
        <f t="shared" si="1"/>
        <v>2.9544744957051044E-2</v>
      </c>
      <c r="H53" s="2">
        <f t="shared" si="2"/>
        <v>8.8972864095873669E-2</v>
      </c>
      <c r="I53" s="2">
        <f t="shared" si="3"/>
        <v>2.9584325809778159E-2</v>
      </c>
    </row>
    <row r="54" spans="5:9">
      <c r="E54">
        <v>0.52</v>
      </c>
      <c r="F54">
        <f t="shared" si="0"/>
        <v>-0.85416626016250496</v>
      </c>
      <c r="G54" s="2">
        <f t="shared" si="1"/>
        <v>3.0580682631538406E-2</v>
      </c>
      <c r="H54" s="2">
        <f t="shared" si="2"/>
        <v>8.8622143676335918E-2</v>
      </c>
      <c r="I54" s="2">
        <f t="shared" si="3"/>
        <v>3.0619952053287353E-2</v>
      </c>
    </row>
    <row r="55" spans="5:9">
      <c r="E55">
        <v>0.53</v>
      </c>
      <c r="F55">
        <f t="shared" si="0"/>
        <v>-0.8479976415061542</v>
      </c>
      <c r="G55" s="2">
        <f t="shared" si="1"/>
        <v>3.1619823850455718E-2</v>
      </c>
      <c r="H55" s="2">
        <f t="shared" si="2"/>
        <v>8.8256723481365151E-2</v>
      </c>
      <c r="I55" s="2">
        <f t="shared" si="3"/>
        <v>3.1658770096654049E-2</v>
      </c>
    </row>
    <row r="56" spans="5:9">
      <c r="E56">
        <v>0.54</v>
      </c>
      <c r="F56">
        <f t="shared" si="0"/>
        <v>-0.84166501650003245</v>
      </c>
      <c r="G56" s="2">
        <f t="shared" si="1"/>
        <v>3.26622390506233E-2</v>
      </c>
      <c r="H56" s="2">
        <f t="shared" si="2"/>
        <v>8.7876280304755389E-2</v>
      </c>
      <c r="I56" s="2">
        <f t="shared" si="3"/>
        <v>3.2700850253824298E-2</v>
      </c>
    </row>
    <row r="57" spans="5:9">
      <c r="E57">
        <v>0.55000000000000004</v>
      </c>
      <c r="F57">
        <f t="shared" si="0"/>
        <v>-0.83516465442450327</v>
      </c>
      <c r="G57" s="2">
        <f t="shared" si="1"/>
        <v>3.3708002706634099E-2</v>
      </c>
      <c r="H57" s="2">
        <f t="shared" si="2"/>
        <v>8.7480472412587884E-2</v>
      </c>
      <c r="I57" s="2">
        <f t="shared" si="3"/>
        <v>3.3746266871901749E-2</v>
      </c>
    </row>
    <row r="58" spans="5:9">
      <c r="E58">
        <v>0.56000000000000005</v>
      </c>
      <c r="F58">
        <f t="shared" si="0"/>
        <v>-0.82849260708831907</v>
      </c>
      <c r="G58" s="2">
        <f t="shared" si="1"/>
        <v>3.4757193634364067E-2</v>
      </c>
      <c r="H58" s="2">
        <f t="shared" si="2"/>
        <v>8.7068938150544367E-2</v>
      </c>
      <c r="I58" s="2">
        <f t="shared" si="3"/>
        <v>3.4795098634317387E-2</v>
      </c>
    </row>
    <row r="59" spans="5:9">
      <c r="E59">
        <v>0.56999999999999995</v>
      </c>
      <c r="F59">
        <f t="shared" si="0"/>
        <v>-0.82164469206585888</v>
      </c>
      <c r="G59" s="2">
        <f t="shared" si="1"/>
        <v>3.5809895325599209E-2</v>
      </c>
      <c r="H59" s="2">
        <f t="shared" si="2"/>
        <v>8.6641294408437985E-2</v>
      </c>
      <c r="I59" s="2">
        <f t="shared" si="3"/>
        <v>3.5847428895083057E-2</v>
      </c>
    </row>
    <row r="60" spans="5:9">
      <c r="E60">
        <v>0.57999999999999996</v>
      </c>
      <c r="F60">
        <f t="shared" si="0"/>
        <v>-0.81461647417665206</v>
      </c>
      <c r="G60" s="2">
        <f t="shared" si="1"/>
        <v>3.6866196317751218E-2</v>
      </c>
      <c r="H60" s="2">
        <f t="shared" si="2"/>
        <v>8.6197134923737609E-2</v>
      </c>
      <c r="I60" s="2">
        <f t="shared" si="3"/>
        <v>3.6903346048096523E-2</v>
      </c>
    </row>
    <row r="61" spans="5:9">
      <c r="E61">
        <v>0.59</v>
      </c>
      <c r="F61">
        <f t="shared" si="0"/>
        <v>-0.80740324497737814</v>
      </c>
      <c r="G61" s="2">
        <f t="shared" si="1"/>
        <v>3.7926190603248838E-2</v>
      </c>
      <c r="H61" s="2">
        <f t="shared" si="2"/>
        <v>8.5736028403035083E-2</v>
      </c>
      <c r="I61" s="2">
        <f t="shared" si="3"/>
        <v>3.7962943936080469E-2</v>
      </c>
    </row>
    <row r="62" spans="5:9">
      <c r="E62">
        <v>0.6</v>
      </c>
      <c r="F62">
        <f t="shared" si="0"/>
        <v>-0.8</v>
      </c>
      <c r="G62" s="2">
        <f t="shared" si="1"/>
        <v>3.8989978083922364E-2</v>
      </c>
      <c r="H62" s="2">
        <f t="shared" si="2"/>
        <v>8.5257516437058228E-2</v>
      </c>
      <c r="I62" s="2">
        <f t="shared" si="3"/>
        <v>3.902632230446744E-2</v>
      </c>
    </row>
    <row r="63" spans="5:9">
      <c r="E63">
        <v>0.61</v>
      </c>
      <c r="F63">
        <f t="shared" si="0"/>
        <v>-0.79240141342630122</v>
      </c>
      <c r="G63" s="2">
        <f t="shared" si="1"/>
        <v>4.0057665076563845E-2</v>
      </c>
      <c r="H63" s="2">
        <f t="shared" si="2"/>
        <v>8.4761111180858384E-2</v>
      </c>
      <c r="I63" s="2">
        <f t="shared" si="3"/>
        <v>4.0093587306406914E-2</v>
      </c>
    </row>
    <row r="64" spans="5:9">
      <c r="E64">
        <v>0.62</v>
      </c>
      <c r="F64">
        <f t="shared" si="0"/>
        <v>-0.7846018098373212</v>
      </c>
      <c r="G64" s="2">
        <f t="shared" si="1"/>
        <v>4.1129364876879758E-2</v>
      </c>
      <c r="H64" s="2">
        <f t="shared" si="2"/>
        <v>8.4246292766058786E-2</v>
      </c>
      <c r="I64" s="2">
        <f t="shared" si="3"/>
        <v>4.1164852066103881E-2</v>
      </c>
    </row>
    <row r="65" spans="5:9">
      <c r="E65">
        <v>0.63</v>
      </c>
      <c r="F65">
        <f t="shared" si="0"/>
        <v>-0.77659513261415691</v>
      </c>
      <c r="G65" s="2">
        <f t="shared" si="1"/>
        <v>4.2205198390290875E-2</v>
      </c>
      <c r="H65" s="2">
        <f t="shared" si="2"/>
        <v>8.3712506406367904E-2</v>
      </c>
      <c r="I65" s="2">
        <f t="shared" si="3"/>
        <v>4.2240237308935058E-2</v>
      </c>
    </row>
    <row r="66" spans="5:9">
      <c r="E66">
        <v>0.64</v>
      </c>
      <c r="F66">
        <f t="shared" si="0"/>
        <v>-0.7683749084919419</v>
      </c>
      <c r="G66" s="2">
        <f t="shared" si="1"/>
        <v>4.3285294839524431E-2</v>
      </c>
      <c r="H66" s="2">
        <f t="shared" si="2"/>
        <v>8.3159159150723985E-2</v>
      </c>
      <c r="I66" s="2">
        <f t="shared" si="3"/>
        <v>4.3319872068277705E-2</v>
      </c>
    </row>
    <row r="67" spans="5:9">
      <c r="E67">
        <v>0.65</v>
      </c>
      <c r="F67">
        <f t="shared" ref="F67:F102" si="4">-((1-E67^2)^(1/2))</f>
        <v>-0.75993420767853315</v>
      </c>
      <c r="G67" s="2">
        <f t="shared" ref="G67:G130" si="5">$B$8*E67+$B$9*F67</f>
        <v>4.436979256074592E-2</v>
      </c>
      <c r="H67" s="2">
        <f t="shared" ref="H67:H130" si="6">$B$9*E67-$B$8*F67</f>
        <v>8.258561623016672E-2</v>
      </c>
      <c r="I67" s="2">
        <f t="shared" ref="I67:I130" si="7">$B$10*G67+$B$10^2*H67^2/200</f>
        <v>4.44038944807865E-2</v>
      </c>
    </row>
    <row r="68" spans="5:9">
      <c r="E68">
        <v>0.66</v>
      </c>
      <c r="F68">
        <f t="shared" si="4"/>
        <v>-0.751265598839718</v>
      </c>
      <c r="G68" s="2">
        <f t="shared" si="5"/>
        <v>4.5458839902168147E-2</v>
      </c>
      <c r="H68" s="2">
        <f t="shared" si="6"/>
        <v>8.1991196934482216E-2</v>
      </c>
      <c r="I68" s="2">
        <f t="shared" si="7"/>
        <v>4.5492452684041895E-2</v>
      </c>
    </row>
    <row r="69" spans="5:9">
      <c r="E69">
        <v>0.67</v>
      </c>
      <c r="F69">
        <f t="shared" si="4"/>
        <v>-0.74236109811869855</v>
      </c>
      <c r="G69" s="2">
        <f t="shared" si="5"/>
        <v>4.6552596241751162E-2</v>
      </c>
      <c r="H69" s="2">
        <f t="shared" si="6"/>
        <v>8.1375169942387804E-2</v>
      </c>
      <c r="I69" s="2">
        <f t="shared" si="7"/>
        <v>4.6585705833166922E-2</v>
      </c>
    </row>
    <row r="70" spans="5:9">
      <c r="E70">
        <v>0.68</v>
      </c>
      <c r="F70">
        <f t="shared" si="4"/>
        <v>-0.73321211119293428</v>
      </c>
      <c r="G70" s="2">
        <f t="shared" si="5"/>
        <v>4.7651233143894113E-2</v>
      </c>
      <c r="H70" s="2">
        <f t="shared" si="6"/>
        <v>8.0736748013938764E-2</v>
      </c>
      <c r="I70" s="2">
        <f t="shared" si="7"/>
        <v>4.7683825256293444E-2</v>
      </c>
    </row>
    <row r="71" spans="5:9">
      <c r="E71">
        <v>0.69</v>
      </c>
      <c r="F71">
        <f t="shared" si="4"/>
        <v>-0.7238093671679029</v>
      </c>
      <c r="G71" s="2">
        <f t="shared" si="5"/>
        <v>4.8754935679082879E-2</v>
      </c>
      <c r="H71" s="2">
        <f t="shared" si="6"/>
        <v>8.0075081935196857E-2</v>
      </c>
      <c r="I71" s="2">
        <f t="shared" si="7"/>
        <v>4.8786995772817525E-2</v>
      </c>
    </row>
    <row r="72" spans="5:9">
      <c r="E72">
        <v>0.7</v>
      </c>
      <c r="F72">
        <f t="shared" si="4"/>
        <v>-0.71414284285428498</v>
      </c>
      <c r="G72" s="2">
        <f t="shared" si="5"/>
        <v>4.9863903935508852E-2</v>
      </c>
      <c r="H72" s="2">
        <f t="shared" si="6"/>
        <v>7.9389253582020425E-2</v>
      </c>
      <c r="I72" s="2">
        <f t="shared" si="7"/>
        <v>4.9895417203430402E-2</v>
      </c>
    </row>
    <row r="73" spans="5:9">
      <c r="E73">
        <v>0.71</v>
      </c>
      <c r="F73">
        <f t="shared" si="4"/>
        <v>-0.70420167565833014</v>
      </c>
      <c r="G73" s="2">
        <f t="shared" si="5"/>
        <v>5.0978354757997335E-2</v>
      </c>
      <c r="H73" s="2">
        <f t="shared" si="6"/>
        <v>7.8678267940821944E-2</v>
      </c>
      <c r="I73" s="2">
        <f t="shared" si="7"/>
        <v>5.1009306107228175E-2</v>
      </c>
    </row>
    <row r="74" spans="5:9">
      <c r="E74">
        <v>0.72</v>
      </c>
      <c r="F74">
        <f t="shared" si="4"/>
        <v>-0.69397406291589891</v>
      </c>
      <c r="G74" s="2">
        <f t="shared" si="5"/>
        <v>5.2098523757554568E-2</v>
      </c>
      <c r="H74" s="2">
        <f t="shared" si="6"/>
        <v>7.7941043887566216E-2</v>
      </c>
      <c r="I74" s="2">
        <f t="shared" si="7"/>
        <v>5.2128897789165983E-2</v>
      </c>
    </row>
    <row r="75" spans="5:9">
      <c r="E75">
        <v>0.73</v>
      </c>
      <c r="F75">
        <f t="shared" si="4"/>
        <v>-0.6834471449936711</v>
      </c>
      <c r="G75" s="2">
        <f t="shared" si="5"/>
        <v>5.3224667644962975E-2</v>
      </c>
      <c r="H75" s="2">
        <f t="shared" si="6"/>
        <v>7.7176403479841116E-2</v>
      </c>
      <c r="I75" s="2">
        <f t="shared" si="7"/>
        <v>5.3254448631233395E-2</v>
      </c>
    </row>
    <row r="76" spans="5:9">
      <c r="E76">
        <v>0.74</v>
      </c>
      <c r="F76">
        <f t="shared" si="4"/>
        <v>-0.67260686883200949</v>
      </c>
      <c r="G76" s="2">
        <f t="shared" si="5"/>
        <v>5.4357066954810566E-2</v>
      </c>
      <c r="H76" s="2">
        <f t="shared" si="6"/>
        <v>7.6383059457383884E-2</v>
      </c>
      <c r="I76" s="2">
        <f t="shared" si="7"/>
        <v>5.4386238813670919E-2</v>
      </c>
    </row>
    <row r="77" spans="5:9">
      <c r="E77">
        <v>0.75</v>
      </c>
      <c r="F77">
        <f t="shared" si="4"/>
        <v>-0.66143782776614768</v>
      </c>
      <c r="G77" s="2">
        <f t="shared" si="5"/>
        <v>5.5496029243064793E-2</v>
      </c>
      <c r="H77" s="2">
        <f t="shared" si="6"/>
        <v>7.5559600569701915E-2</v>
      </c>
      <c r="I77" s="2">
        <f t="shared" si="7"/>
        <v>5.5524575509256061E-2</v>
      </c>
    </row>
    <row r="78" spans="5:9">
      <c r="E78">
        <v>0.76</v>
      </c>
      <c r="F78">
        <f t="shared" si="4"/>
        <v>-0.64992307237087688</v>
      </c>
      <c r="G78" s="2">
        <f t="shared" si="5"/>
        <v>5.664189286309073E-2</v>
      </c>
      <c r="H78" s="2">
        <f t="shared" si="6"/>
        <v>7.4704474249446068E-2</v>
      </c>
      <c r="I78" s="2">
        <f t="shared" si="7"/>
        <v>5.6669796655455164E-2</v>
      </c>
    </row>
    <row r="79" spans="5:9">
      <c r="E79">
        <v>0.77</v>
      </c>
      <c r="F79">
        <f t="shared" si="4"/>
        <v>-0.63804388563797088</v>
      </c>
      <c r="G79" s="2">
        <f t="shared" si="5"/>
        <v>5.7795031453677842E-2</v>
      </c>
      <c r="H79" s="2">
        <f t="shared" si="6"/>
        <v>7.381596601866286E-2</v>
      </c>
      <c r="I79" s="2">
        <f t="shared" si="7"/>
        <v>5.7822275437874181E-2</v>
      </c>
    </row>
    <row r="80" spans="5:9">
      <c r="E80">
        <v>0.78</v>
      </c>
      <c r="F80">
        <f t="shared" si="4"/>
        <v>-0.62577951388648057</v>
      </c>
      <c r="G80" s="2">
        <f t="shared" si="5"/>
        <v>5.8955859310750619E-2</v>
      </c>
      <c r="H80" s="2">
        <f t="shared" si="6"/>
        <v>7.2892174840177307E-2</v>
      </c>
      <c r="I80" s="2">
        <f t="shared" si="7"/>
        <v>5.8982425656515271E-2</v>
      </c>
    </row>
    <row r="81" spans="5:9">
      <c r="E81">
        <v>0.79</v>
      </c>
      <c r="F81">
        <f t="shared" si="4"/>
        <v>-0.61310684223877321</v>
      </c>
      <c r="G81" s="2">
        <f t="shared" si="5"/>
        <v>6.012483786568705E-2</v>
      </c>
      <c r="H81" s="2">
        <f t="shared" si="6"/>
        <v>7.19309833911983E-2</v>
      </c>
      <c r="I81" s="2">
        <f t="shared" si="7"/>
        <v>6.0150708197545172E-2</v>
      </c>
    </row>
    <row r="82" spans="5:9">
      <c r="E82" s="4">
        <v>0.8</v>
      </c>
      <c r="F82" s="4">
        <f t="shared" si="4"/>
        <v>-0.59999999999999987</v>
      </c>
      <c r="G82" s="5">
        <f t="shared" si="5"/>
        <v>6.1302483562941774E-2</v>
      </c>
      <c r="H82" s="5">
        <f t="shared" si="6"/>
        <v>7.0930021916077626E-2</v>
      </c>
      <c r="I82" s="5">
        <f t="shared" si="7"/>
        <v>6.1327638902986849E-2</v>
      </c>
    </row>
    <row r="83" spans="5:9">
      <c r="E83">
        <v>0.81</v>
      </c>
      <c r="F83">
        <f t="shared" si="4"/>
        <v>-0.58642987645582989</v>
      </c>
      <c r="G83" s="2">
        <f t="shared" si="5"/>
        <v>6.2489377525947132E-2</v>
      </c>
      <c r="H83" s="2">
        <f t="shared" si="6"/>
        <v>6.9886623873382625E-2</v>
      </c>
      <c r="I83" s="2">
        <f t="shared" si="7"/>
        <v>6.2513798226929235E-2</v>
      </c>
    </row>
    <row r="84" spans="5:9">
      <c r="E84">
        <v>0.82</v>
      </c>
      <c r="F84">
        <f t="shared" si="4"/>
        <v>-0.57236352085016751</v>
      </c>
      <c r="G84" s="2">
        <f t="shared" si="5"/>
        <v>6.3686177535074329E-2</v>
      </c>
      <c r="H84" s="2">
        <f t="shared" si="6"/>
        <v>6.8797770973854921E-2</v>
      </c>
      <c r="I84" s="2">
        <f t="shared" si="7"/>
        <v>6.3709843201529184E-2</v>
      </c>
    </row>
    <row r="85" spans="5:9">
      <c r="E85">
        <v>0.83</v>
      </c>
      <c r="F85">
        <f t="shared" si="4"/>
        <v>-0.55776339069537362</v>
      </c>
      <c r="G85" s="2">
        <f t="shared" si="5"/>
        <v>6.4893633033261386E-2</v>
      </c>
      <c r="H85" s="2">
        <f t="shared" si="6"/>
        <v>6.7660024325626775E-2</v>
      </c>
      <c r="I85" s="2">
        <f t="shared" si="7"/>
        <v>6.4916522427720114E-2</v>
      </c>
    </row>
    <row r="86" spans="5:9">
      <c r="E86">
        <v>0.84</v>
      </c>
      <c r="F86">
        <f t="shared" si="4"/>
        <v>-0.54258639865002156</v>
      </c>
      <c r="G86" s="2">
        <f t="shared" si="5"/>
        <v>6.6112604152741894E-2</v>
      </c>
      <c r="H86" s="2">
        <f t="shared" si="6"/>
        <v>6.6469437128223494E-2</v>
      </c>
      <c r="I86" s="2">
        <f t="shared" si="7"/>
        <v>6.6134695083102601E-2</v>
      </c>
    </row>
    <row r="87" spans="5:9">
      <c r="E87">
        <v>0.85</v>
      </c>
      <c r="F87">
        <f t="shared" si="4"/>
        <v>-0.52678268764263703</v>
      </c>
      <c r="G87" s="2">
        <f t="shared" si="5"/>
        <v>6.7344086166671008E-2</v>
      </c>
      <c r="H87" s="2">
        <f t="shared" si="6"/>
        <v>6.5221442473898036E-2</v>
      </c>
      <c r="I87" s="2">
        <f t="shared" si="7"/>
        <v>6.7365355349462891E-2</v>
      </c>
    </row>
    <row r="88" spans="5:9">
      <c r="E88">
        <v>0.86</v>
      </c>
      <c r="F88">
        <f t="shared" si="4"/>
        <v>-0.51029403288692299</v>
      </c>
      <c r="G88" s="2">
        <f t="shared" si="5"/>
        <v>6.858924138894025E-2</v>
      </c>
      <c r="H88" s="2">
        <f t="shared" si="6"/>
        <v>6.3910706972225603E-2</v>
      </c>
      <c r="I88" s="2">
        <f t="shared" si="7"/>
        <v>6.8609664281268704E-2</v>
      </c>
    </row>
    <row r="89" spans="5:9">
      <c r="E89">
        <v>0.87</v>
      </c>
      <c r="F89">
        <f t="shared" si="4"/>
        <v>-0.49305172142484199</v>
      </c>
      <c r="G89" s="2">
        <f t="shared" si="5"/>
        <v>6.9849441503856829E-2</v>
      </c>
      <c r="H89" s="2">
        <f t="shared" si="6"/>
        <v>6.2530936516249955E-2</v>
      </c>
      <c r="I89" s="2">
        <f t="shared" si="7"/>
        <v>6.9868992093964827E-2</v>
      </c>
    </row>
    <row r="90" spans="5:9">
      <c r="E90">
        <v>0.88</v>
      </c>
      <c r="F90">
        <f t="shared" si="4"/>
        <v>-0.4749736834815167</v>
      </c>
      <c r="G90" s="2">
        <f t="shared" si="5"/>
        <v>7.112632483155007E-2</v>
      </c>
      <c r="H90" s="2">
        <f t="shared" si="6"/>
        <v>6.1074613514592327E-2</v>
      </c>
      <c r="I90" s="2">
        <f t="shared" si="7"/>
        <v>7.1144975373629848E-2</v>
      </c>
    </row>
    <row r="91" spans="5:9">
      <c r="E91">
        <v>0.89</v>
      </c>
      <c r="F91">
        <f t="shared" si="4"/>
        <v>-0.45596052460711989</v>
      </c>
      <c r="G91" s="2">
        <f t="shared" si="5"/>
        <v>7.242187553644755E-2</v>
      </c>
      <c r="H91" s="2">
        <f t="shared" si="6"/>
        <v>5.9532633435648546E-2</v>
      </c>
      <c r="I91" s="2">
        <f t="shared" si="7"/>
        <v>7.2439596208666468E-2</v>
      </c>
    </row>
    <row r="92" spans="5:9">
      <c r="E92">
        <v>0.9</v>
      </c>
      <c r="F92">
        <f t="shared" si="4"/>
        <v>-0.43588989435406728</v>
      </c>
      <c r="G92" s="2">
        <f t="shared" si="5"/>
        <v>7.3738536042710981E-2</v>
      </c>
      <c r="H92" s="2">
        <f t="shared" si="6"/>
        <v>5.7893788978419902E-2</v>
      </c>
      <c r="I92" s="2">
        <f t="shared" si="7"/>
        <v>7.3755294496722371E-2</v>
      </c>
    </row>
    <row r="93" spans="5:9">
      <c r="E93">
        <v>0.91</v>
      </c>
      <c r="F93">
        <f t="shared" si="4"/>
        <v>-0.41460824883255754</v>
      </c>
      <c r="G93" s="2">
        <f t="shared" si="5"/>
        <v>7.5079371474446863E-2</v>
      </c>
      <c r="H93" s="2">
        <f t="shared" si="6"/>
        <v>5.6144015522600579E-2</v>
      </c>
      <c r="I93" s="2">
        <f t="shared" si="7"/>
        <v>7.5095132226841874E-2</v>
      </c>
    </row>
    <row r="94" spans="5:9">
      <c r="E94">
        <v>0.92</v>
      </c>
      <c r="F94">
        <f t="shared" si="4"/>
        <v>-0.39191835884530846</v>
      </c>
      <c r="G94" s="2">
        <f t="shared" si="5"/>
        <v>7.6448319024909062E-2</v>
      </c>
      <c r="H94" s="2">
        <f t="shared" si="6"/>
        <v>5.4265246873719537E-2</v>
      </c>
      <c r="I94" s="2">
        <f t="shared" si="7"/>
        <v>7.6463042610000392E-2</v>
      </c>
    </row>
    <row r="95" spans="5:9">
      <c r="E95">
        <v>0.93</v>
      </c>
      <c r="F95">
        <f t="shared" si="4"/>
        <v>-0.36755951898978195</v>
      </c>
      <c r="G95" s="2">
        <f t="shared" si="5"/>
        <v>7.7850583032837789E-2</v>
      </c>
      <c r="H95" s="2">
        <f t="shared" si="6"/>
        <v>5.2233602416904279E-2</v>
      </c>
      <c r="I95" s="2">
        <f t="shared" si="7"/>
        <v>7.7864224778945029E-2</v>
      </c>
    </row>
    <row r="96" spans="5:9">
      <c r="E96">
        <v>0.94</v>
      </c>
      <c r="F96">
        <f t="shared" si="4"/>
        <v>-0.34117444218463971</v>
      </c>
      <c r="G96" s="2">
        <f t="shared" si="5"/>
        <v>7.9293295851382173E-2</v>
      </c>
      <c r="H96" s="2">
        <f t="shared" si="6"/>
        <v>5.0016354655504212E-2</v>
      </c>
      <c r="I96" s="2">
        <f t="shared" si="7"/>
        <v>7.9305804030047305E-2</v>
      </c>
    </row>
    <row r="97" spans="5:9">
      <c r="E97">
        <v>0.95</v>
      </c>
      <c r="F97">
        <f t="shared" si="4"/>
        <v>-0.31224989991991997</v>
      </c>
      <c r="G97" s="2">
        <f t="shared" si="5"/>
        <v>8.0786702818732292E-2</v>
      </c>
      <c r="H97" s="2">
        <f t="shared" si="6"/>
        <v>4.7566491858006862E-2</v>
      </c>
      <c r="I97" s="2">
        <f t="shared" si="7"/>
        <v>8.0798015674470675E-2</v>
      </c>
    </row>
    <row r="98" spans="5:9">
      <c r="E98">
        <v>0.96</v>
      </c>
      <c r="F98">
        <f t="shared" si="4"/>
        <v>-0.28000000000000003</v>
      </c>
      <c r="G98" s="2">
        <f t="shared" si="5"/>
        <v>8.2346492329372828E-2</v>
      </c>
      <c r="H98" s="2">
        <f t="shared" si="6"/>
        <v>4.4812026299293164E-2</v>
      </c>
      <c r="I98" s="2">
        <f t="shared" si="7"/>
        <v>8.2356532917878075E-2</v>
      </c>
    </row>
    <row r="99" spans="5:9">
      <c r="E99">
        <v>0.97</v>
      </c>
      <c r="F99">
        <f t="shared" si="4"/>
        <v>-0.24310491562286443</v>
      </c>
      <c r="G99" s="2">
        <f t="shared" si="5"/>
        <v>8.3999011461995815E-2</v>
      </c>
      <c r="H99" s="2">
        <f t="shared" si="6"/>
        <v>4.1632061844298518E-2</v>
      </c>
      <c r="I99" s="2">
        <f t="shared" si="7"/>
        <v>8.4007677604862857E-2</v>
      </c>
    </row>
    <row r="100" spans="5:9">
      <c r="E100">
        <v>0.98</v>
      </c>
      <c r="F100">
        <f t="shared" si="4"/>
        <v>-0.1989974874213242</v>
      </c>
      <c r="G100" s="2">
        <f t="shared" si="5"/>
        <v>8.5795507205796331E-2</v>
      </c>
      <c r="H100" s="2">
        <f t="shared" si="6"/>
        <v>3.7791446694988393E-2</v>
      </c>
      <c r="I100" s="2">
        <f t="shared" si="7"/>
        <v>8.5802648173012835E-2</v>
      </c>
    </row>
    <row r="101" spans="5:9">
      <c r="E101">
        <v>0.99</v>
      </c>
      <c r="F101">
        <f t="shared" si="4"/>
        <v>-0.14106735979665894</v>
      </c>
      <c r="G101" s="2">
        <f t="shared" si="5"/>
        <v>8.7867938965505182E-2</v>
      </c>
      <c r="H101" s="2">
        <f t="shared" si="6"/>
        <v>3.2684672278520031E-2</v>
      </c>
      <c r="I101" s="2">
        <f t="shared" si="7"/>
        <v>8.7873280404514947E-2</v>
      </c>
    </row>
    <row r="102" spans="5:9">
      <c r="E102" s="6">
        <v>1</v>
      </c>
      <c r="F102" s="6">
        <f t="shared" si="4"/>
        <v>0</v>
      </c>
      <c r="G102" s="7">
        <f t="shared" si="5"/>
        <v>9.1600000000000001E-2</v>
      </c>
      <c r="H102" s="7">
        <f t="shared" si="6"/>
        <v>1.9962527395097043E-2</v>
      </c>
      <c r="I102" s="7">
        <f t="shared" si="7"/>
        <v>9.1601992512499994E-2</v>
      </c>
    </row>
    <row r="103" spans="5:9">
      <c r="E103">
        <v>0.99</v>
      </c>
      <c r="F103">
        <f>(1-E103^2)^(1/2)</f>
        <v>0.14106735979665894</v>
      </c>
      <c r="G103" s="2">
        <f t="shared" si="5"/>
        <v>9.3500061034494819E-2</v>
      </c>
      <c r="H103" s="2">
        <f t="shared" si="6"/>
        <v>6.8411319637721128E-3</v>
      </c>
      <c r="I103" s="2">
        <f t="shared" si="7"/>
        <v>9.3500295039927545E-2</v>
      </c>
    </row>
    <row r="104" spans="5:9">
      <c r="E104">
        <v>0.98</v>
      </c>
      <c r="F104">
        <f t="shared" ref="F104:F167" si="8">(1-E104^2)^(1/2)</f>
        <v>0.1989974874213242</v>
      </c>
      <c r="G104" s="2">
        <f t="shared" si="5"/>
        <v>9.374049279420367E-2</v>
      </c>
      <c r="H104" s="2">
        <f t="shared" si="6"/>
        <v>1.3351069994018035E-3</v>
      </c>
      <c r="I104" s="2">
        <f t="shared" si="7"/>
        <v>9.3740501706757171E-2</v>
      </c>
    </row>
    <row r="105" spans="5:9">
      <c r="E105">
        <v>0.97</v>
      </c>
      <c r="F105">
        <f t="shared" si="8"/>
        <v>0.24310491562286443</v>
      </c>
      <c r="G105" s="2">
        <f t="shared" si="5"/>
        <v>9.3704988538004186E-2</v>
      </c>
      <c r="H105" s="2">
        <f t="shared" si="6"/>
        <v>-2.9047586978102509E-3</v>
      </c>
      <c r="I105" s="2">
        <f t="shared" si="7"/>
        <v>9.3705030726119645E-2</v>
      </c>
    </row>
    <row r="106" spans="5:9">
      <c r="E106">
        <v>0.96</v>
      </c>
      <c r="F106">
        <f t="shared" si="8"/>
        <v>0.28000000000000003</v>
      </c>
      <c r="G106" s="2">
        <f t="shared" si="5"/>
        <v>9.3525507670627173E-2</v>
      </c>
      <c r="H106" s="2">
        <f t="shared" si="6"/>
        <v>-6.4839737007068438E-3</v>
      </c>
      <c r="I106" s="2">
        <f t="shared" si="7"/>
        <v>9.3525717880201933E-2</v>
      </c>
    </row>
    <row r="107" spans="5:9">
      <c r="E107">
        <v>0.95</v>
      </c>
      <c r="F107">
        <f t="shared" si="8"/>
        <v>0.31224989991991997</v>
      </c>
      <c r="G107" s="2">
        <f t="shared" si="5"/>
        <v>9.3253297181267708E-2</v>
      </c>
      <c r="H107" s="2">
        <f t="shared" si="6"/>
        <v>-9.6376898073224811E-3</v>
      </c>
      <c r="I107" s="2">
        <f t="shared" si="7"/>
        <v>9.3253761606591823E-2</v>
      </c>
    </row>
    <row r="108" spans="5:9">
      <c r="E108">
        <v>0.94</v>
      </c>
      <c r="F108">
        <f t="shared" si="8"/>
        <v>0.34117444218463971</v>
      </c>
      <c r="G108" s="2">
        <f t="shared" si="5"/>
        <v>9.2914704148617827E-2</v>
      </c>
      <c r="H108" s="2">
        <f t="shared" si="6"/>
        <v>-1.2486803152721777E-2</v>
      </c>
      <c r="I108" s="2">
        <f t="shared" si="7"/>
        <v>9.2915483749882705E-2</v>
      </c>
    </row>
    <row r="109" spans="5:9">
      <c r="E109">
        <v>0.93</v>
      </c>
      <c r="F109">
        <f t="shared" si="8"/>
        <v>0.36755951898978195</v>
      </c>
      <c r="G109" s="2">
        <f t="shared" si="5"/>
        <v>9.2525416967162211E-2</v>
      </c>
      <c r="H109" s="2">
        <f t="shared" si="6"/>
        <v>-1.510330146202378E-2</v>
      </c>
      <c r="I109" s="2">
        <f t="shared" si="7"/>
        <v>9.2526557515737476E-2</v>
      </c>
    </row>
    <row r="110" spans="5:9">
      <c r="E110">
        <v>0.92</v>
      </c>
      <c r="F110">
        <f t="shared" si="8"/>
        <v>0.39191835884530846</v>
      </c>
      <c r="G110" s="2">
        <f t="shared" si="5"/>
        <v>9.2095680975090938E-2</v>
      </c>
      <c r="H110" s="2">
        <f t="shared" si="6"/>
        <v>-1.7534196466740974E-2</v>
      </c>
      <c r="I110" s="2">
        <f t="shared" si="7"/>
        <v>9.2097218215319604E-2</v>
      </c>
    </row>
    <row r="111" spans="5:9">
      <c r="E111">
        <v>0.91</v>
      </c>
      <c r="F111">
        <f t="shared" si="8"/>
        <v>0.41460824883255754</v>
      </c>
      <c r="G111" s="2">
        <f t="shared" si="5"/>
        <v>9.1632628525553136E-2</v>
      </c>
      <c r="H111" s="2">
        <f t="shared" si="6"/>
        <v>-1.9812215663523963E-2</v>
      </c>
      <c r="I111" s="2">
        <f t="shared" si="7"/>
        <v>9.1634591145000624E-2</v>
      </c>
    </row>
    <row r="112" spans="5:9">
      <c r="E112">
        <v>0.9</v>
      </c>
      <c r="F112">
        <f t="shared" si="8"/>
        <v>0.43588989435406728</v>
      </c>
      <c r="G112" s="2">
        <f t="shared" si="5"/>
        <v>9.1141463957289018E-2</v>
      </c>
      <c r="H112" s="2">
        <f t="shared" si="6"/>
        <v>-2.1961239667245225E-2</v>
      </c>
      <c r="I112" s="2">
        <f t="shared" si="7"/>
        <v>9.1143875437527624E-2</v>
      </c>
    </row>
    <row r="113" spans="5:9">
      <c r="E113">
        <v>0.89</v>
      </c>
      <c r="F113">
        <f t="shared" si="8"/>
        <v>0.45596052460711989</v>
      </c>
      <c r="G113" s="2">
        <f t="shared" si="5"/>
        <v>9.0626124463552449E-2</v>
      </c>
      <c r="H113" s="2">
        <f t="shared" si="6"/>
        <v>-2.3999334672375815E-2</v>
      </c>
      <c r="I113" s="2">
        <f t="shared" si="7"/>
        <v>9.0629004303876035E-2</v>
      </c>
    </row>
    <row r="114" spans="5:9">
      <c r="E114">
        <v>0.88</v>
      </c>
      <c r="F114">
        <f t="shared" si="8"/>
        <v>0.4749736834815167</v>
      </c>
      <c r="G114" s="2">
        <f t="shared" si="5"/>
        <v>9.0089675168449929E-2</v>
      </c>
      <c r="H114" s="2">
        <f t="shared" si="6"/>
        <v>-2.5940565299221532E-2</v>
      </c>
      <c r="I114" s="2">
        <f t="shared" si="7"/>
        <v>9.0093039733090144E-2</v>
      </c>
    </row>
    <row r="115" spans="5:9">
      <c r="E115">
        <v>0.87</v>
      </c>
      <c r="F115">
        <f t="shared" si="8"/>
        <v>0.49305172142484199</v>
      </c>
      <c r="G115" s="2">
        <f t="shared" si="5"/>
        <v>8.9534558496143168E-2</v>
      </c>
      <c r="H115" s="2">
        <f t="shared" si="6"/>
        <v>-2.7796138848781099E-2</v>
      </c>
      <c r="I115" s="2">
        <f t="shared" si="7"/>
        <v>8.9538421622817665E-2</v>
      </c>
    </row>
    <row r="116" spans="5:9">
      <c r="E116">
        <v>0.86</v>
      </c>
      <c r="F116">
        <f t="shared" si="8"/>
        <v>0.51029403288692299</v>
      </c>
      <c r="G116" s="2">
        <f t="shared" si="5"/>
        <v>8.8962758611059747E-2</v>
      </c>
      <c r="H116" s="2">
        <f t="shared" si="6"/>
        <v>-2.9575159852658687E-2</v>
      </c>
      <c r="I116" s="2">
        <f t="shared" si="7"/>
        <v>8.8967132061461299E-2</v>
      </c>
    </row>
    <row r="117" spans="5:9">
      <c r="E117">
        <v>0.85</v>
      </c>
      <c r="F117">
        <f t="shared" si="8"/>
        <v>0.52678268764263703</v>
      </c>
      <c r="G117" s="2">
        <f t="shared" si="5"/>
        <v>8.837591383332899E-2</v>
      </c>
      <c r="H117" s="2">
        <f t="shared" si="6"/>
        <v>-3.1285145902233066E-2</v>
      </c>
      <c r="I117" s="2">
        <f t="shared" si="7"/>
        <v>8.8380807635099604E-2</v>
      </c>
    </row>
    <row r="118" spans="5:9">
      <c r="E118">
        <v>0.84</v>
      </c>
      <c r="F118">
        <f t="shared" si="8"/>
        <v>0.54258639865002156</v>
      </c>
      <c r="G118" s="2">
        <f t="shared" si="5"/>
        <v>8.7775395847258103E-2</v>
      </c>
      <c r="H118" s="2">
        <f t="shared" si="6"/>
        <v>-3.2932391104460459E-2</v>
      </c>
      <c r="I118" s="2">
        <f t="shared" si="7"/>
        <v>8.7780818559177395E-2</v>
      </c>
    </row>
    <row r="119" spans="5:9">
      <c r="E119">
        <v>0.83</v>
      </c>
      <c r="F119">
        <f t="shared" si="8"/>
        <v>0.55776339069537362</v>
      </c>
      <c r="G119" s="2">
        <f t="shared" si="5"/>
        <v>8.7162366966738611E-2</v>
      </c>
      <c r="H119" s="2">
        <f t="shared" si="6"/>
        <v>-3.4522228849765677E-2</v>
      </c>
      <c r="I119" s="2">
        <f t="shared" si="7"/>
        <v>8.7168325888162396E-2</v>
      </c>
    </row>
    <row r="120" spans="5:9">
      <c r="E120">
        <v>0.82</v>
      </c>
      <c r="F120">
        <f t="shared" si="8"/>
        <v>0.57236352085016751</v>
      </c>
      <c r="G120" s="2">
        <f t="shared" si="5"/>
        <v>8.6537822464925668E-2</v>
      </c>
      <c r="H120" s="2">
        <f t="shared" si="6"/>
        <v>-3.6059226045895773E-2</v>
      </c>
      <c r="I120" s="2">
        <f t="shared" si="7"/>
        <v>8.654432380384082E-2</v>
      </c>
    </row>
    <row r="121" spans="5:9">
      <c r="E121">
        <v>0.81</v>
      </c>
      <c r="F121">
        <f t="shared" si="8"/>
        <v>0.58642987645582989</v>
      </c>
      <c r="G121" s="2">
        <f t="shared" si="5"/>
        <v>8.5902622474052892E-2</v>
      </c>
      <c r="H121" s="2">
        <f t="shared" si="6"/>
        <v>-3.7547329493325413E-2</v>
      </c>
      <c r="I121" s="2">
        <f t="shared" si="7"/>
        <v>8.5909671483813288E-2</v>
      </c>
    </row>
    <row r="122" spans="5:9">
      <c r="E122" s="6">
        <v>0.8</v>
      </c>
      <c r="F122" s="6">
        <f t="shared" si="8"/>
        <v>0.59999999999999987</v>
      </c>
      <c r="G122" s="7">
        <f t="shared" si="5"/>
        <v>8.5257516437058228E-2</v>
      </c>
      <c r="H122" s="7">
        <f t="shared" si="6"/>
        <v>-3.898997808392235E-2</v>
      </c>
      <c r="I122" s="7">
        <f t="shared" si="7"/>
        <v>8.5265117529013154E-2</v>
      </c>
    </row>
    <row r="123" spans="5:9">
      <c r="E123">
        <v>0.79</v>
      </c>
      <c r="F123">
        <f t="shared" si="8"/>
        <v>0.61310684223877321</v>
      </c>
      <c r="G123" s="2">
        <f t="shared" si="5"/>
        <v>8.4603162134312945E-2</v>
      </c>
      <c r="H123" s="2">
        <f t="shared" si="6"/>
        <v>-4.0390190106944966E-2</v>
      </c>
      <c r="I123" s="2">
        <f t="shared" si="7"/>
        <v>8.4611318971597321E-2</v>
      </c>
    </row>
    <row r="124" spans="5:9">
      <c r="E124">
        <v>0.78</v>
      </c>
      <c r="F124">
        <f t="shared" si="8"/>
        <v>0.62577951388648057</v>
      </c>
      <c r="G124" s="2">
        <f t="shared" si="5"/>
        <v>8.3940140689249376E-2</v>
      </c>
      <c r="H124" s="2">
        <f t="shared" si="6"/>
        <v>-4.1750632103825923E-2</v>
      </c>
      <c r="I124" s="2">
        <f t="shared" si="7"/>
        <v>8.3948856265654723E-2</v>
      </c>
    </row>
    <row r="125" spans="5:9">
      <c r="E125">
        <v>0.77</v>
      </c>
      <c r="F125">
        <f t="shared" si="8"/>
        <v>0.63804388563797088</v>
      </c>
      <c r="G125" s="2">
        <f t="shared" si="5"/>
        <v>8.3268968546322153E-2</v>
      </c>
      <c r="H125" s="2">
        <f t="shared" si="6"/>
        <v>-4.3073673830213405E-2</v>
      </c>
      <c r="I125" s="2">
        <f t="shared" si="7"/>
        <v>8.3278245253208316E-2</v>
      </c>
    </row>
    <row r="126" spans="5:9">
      <c r="E126">
        <v>0.76</v>
      </c>
      <c r="F126">
        <f t="shared" si="8"/>
        <v>0.64992307237087688</v>
      </c>
      <c r="G126" s="2">
        <f t="shared" si="5"/>
        <v>8.2590107136909258E-2</v>
      </c>
      <c r="H126" s="2">
        <f t="shared" si="6"/>
        <v>-4.436143260889857E-2</v>
      </c>
      <c r="I126" s="2">
        <f t="shared" si="7"/>
        <v>8.2599946820424833E-2</v>
      </c>
    </row>
    <row r="127" spans="5:9">
      <c r="E127">
        <v>0.75</v>
      </c>
      <c r="F127">
        <f t="shared" si="8"/>
        <v>0.66143782776614768</v>
      </c>
      <c r="G127" s="2">
        <f t="shared" si="5"/>
        <v>8.1903970756935202E-2</v>
      </c>
      <c r="H127" s="2">
        <f t="shared" si="6"/>
        <v>-4.5615809477056346E-2</v>
      </c>
      <c r="I127" s="2">
        <f t="shared" si="7"/>
        <v>8.1914374767306439E-2</v>
      </c>
    </row>
    <row r="128" spans="5:9">
      <c r="E128">
        <v>0.74</v>
      </c>
      <c r="F128">
        <f t="shared" si="8"/>
        <v>0.67260686883200949</v>
      </c>
      <c r="G128" s="2">
        <f t="shared" si="5"/>
        <v>8.1210933045189435E-2</v>
      </c>
      <c r="H128" s="2">
        <f t="shared" si="6"/>
        <v>-4.6838518912640258E-2</v>
      </c>
      <c r="I128" s="2">
        <f t="shared" si="7"/>
        <v>8.1221902279459079E-2</v>
      </c>
    </row>
    <row r="129" spans="5:9">
      <c r="E129">
        <v>0.73</v>
      </c>
      <c r="F129">
        <f t="shared" si="8"/>
        <v>0.6834471449936711</v>
      </c>
      <c r="G129" s="2">
        <f t="shared" si="5"/>
        <v>8.0511332355037019E-2</v>
      </c>
      <c r="H129" s="2">
        <f t="shared" si="6"/>
        <v>-4.8031113482999432E-2</v>
      </c>
      <c r="I129" s="2">
        <f t="shared" si="7"/>
        <v>8.0522867294349099E-2</v>
      </c>
    </row>
    <row r="130" spans="5:9">
      <c r="E130">
        <v>0.72</v>
      </c>
      <c r="F130">
        <f t="shared" si="8"/>
        <v>0.69397406291589891</v>
      </c>
      <c r="G130" s="2">
        <f t="shared" si="5"/>
        <v>7.9805476242445425E-2</v>
      </c>
      <c r="H130" s="2">
        <f t="shared" si="6"/>
        <v>-4.9195004438626469E-2</v>
      </c>
      <c r="I130" s="2">
        <f t="shared" si="7"/>
        <v>7.9817576984754002E-2</v>
      </c>
    </row>
    <row r="131" spans="5:9">
      <c r="E131">
        <v>0.71</v>
      </c>
      <c r="F131">
        <f t="shared" si="8"/>
        <v>0.70420167565833014</v>
      </c>
      <c r="G131" s="2">
        <f t="shared" ref="G131:G194" si="9">$B$8*E131+$B$9*F131</f>
        <v>7.9093645242002658E-2</v>
      </c>
      <c r="H131" s="2">
        <f t="shared" ref="H131:H194" si="10">$B$9*E131-$B$8*F131</f>
        <v>-5.033147903978414E-2</v>
      </c>
      <c r="I131" s="2">
        <f t="shared" ref="I131:I194" si="11">$B$10*G131+$B$10^2*H131^2/200</f>
        <v>7.9106311530914325E-2</v>
      </c>
    </row>
    <row r="132" spans="5:9">
      <c r="E132">
        <v>0.7</v>
      </c>
      <c r="F132">
        <f t="shared" si="8"/>
        <v>0.71414284285428498</v>
      </c>
      <c r="G132" s="2">
        <f t="shared" si="9"/>
        <v>7.8376096064491141E-2</v>
      </c>
      <c r="H132" s="2">
        <f t="shared" si="10"/>
        <v>-5.144171522888457E-2</v>
      </c>
      <c r="I132" s="2">
        <f t="shared" si="11"/>
        <v>7.8389327314819596E-2</v>
      </c>
    </row>
    <row r="133" spans="5:9">
      <c r="E133">
        <v>0.69</v>
      </c>
      <c r="F133">
        <f t="shared" si="8"/>
        <v>0.7238093671679029</v>
      </c>
      <c r="G133" s="2">
        <f t="shared" si="9"/>
        <v>7.7653064320917106E-2</v>
      </c>
      <c r="H133" s="2">
        <f t="shared" si="10"/>
        <v>-5.2526794129962945E-2</v>
      </c>
      <c r="I133" s="2">
        <f t="shared" si="11"/>
        <v>7.766685964142496E-2</v>
      </c>
    </row>
    <row r="134" spans="5:9">
      <c r="E134">
        <v>0.68</v>
      </c>
      <c r="F134">
        <f t="shared" si="8"/>
        <v>0.73321211119293428</v>
      </c>
      <c r="G134" s="2">
        <f t="shared" si="9"/>
        <v>7.6924766856105886E-2</v>
      </c>
      <c r="H134" s="2">
        <f t="shared" si="10"/>
        <v>-5.3587710756606788E-2</v>
      </c>
      <c r="I134" s="2">
        <f t="shared" si="11"/>
        <v>7.6939125069826558E-2</v>
      </c>
    </row>
    <row r="135" spans="5:9">
      <c r="E135">
        <v>0.67</v>
      </c>
      <c r="F135">
        <f t="shared" si="8"/>
        <v>0.74236109811869855</v>
      </c>
      <c r="G135" s="2">
        <f t="shared" si="9"/>
        <v>7.6191403758248843E-2</v>
      </c>
      <c r="H135" s="2">
        <f t="shared" si="10"/>
        <v>-5.4625383232957764E-2</v>
      </c>
      <c r="I135" s="2">
        <f t="shared" si="11"/>
        <v>7.620632342071558E-2</v>
      </c>
    </row>
    <row r="136" spans="5:9">
      <c r="E136">
        <v>0.66</v>
      </c>
      <c r="F136">
        <f t="shared" si="8"/>
        <v>0.751265598839718</v>
      </c>
      <c r="G136" s="2">
        <f t="shared" si="9"/>
        <v>7.5453160097831859E-2</v>
      </c>
      <c r="H136" s="2">
        <f t="shared" si="10"/>
        <v>-5.5640660772954112E-2</v>
      </c>
      <c r="I136" s="2">
        <f t="shared" si="11"/>
        <v>7.5468639513488117E-2</v>
      </c>
    </row>
    <row r="137" spans="5:9">
      <c r="E137">
        <v>0.65</v>
      </c>
      <c r="F137">
        <f t="shared" si="8"/>
        <v>0.75993420767853315</v>
      </c>
      <c r="G137" s="2">
        <f t="shared" si="9"/>
        <v>7.4710207439254078E-2</v>
      </c>
      <c r="H137" s="2">
        <f t="shared" si="10"/>
        <v>-5.6634330616540558E-2</v>
      </c>
      <c r="I137" s="2">
        <f t="shared" si="11"/>
        <v>7.4726244676275991E-2</v>
      </c>
    </row>
    <row r="138" spans="5:9">
      <c r="E138">
        <v>0.64</v>
      </c>
      <c r="F138">
        <f t="shared" si="8"/>
        <v>0.7683749084919419</v>
      </c>
      <c r="G138" s="2">
        <f t="shared" si="9"/>
        <v>7.3962705160475581E-2</v>
      </c>
      <c r="H138" s="2">
        <f t="shared" si="10"/>
        <v>-5.7607124084999774E-2</v>
      </c>
      <c r="I138" s="2">
        <f t="shared" si="11"/>
        <v>7.3979298064202309E-2</v>
      </c>
    </row>
    <row r="139" spans="5:9">
      <c r="E139">
        <v>0.63</v>
      </c>
      <c r="F139">
        <f t="shared" si="8"/>
        <v>0.77659513261415691</v>
      </c>
      <c r="G139" s="2">
        <f t="shared" si="9"/>
        <v>7.3210801609709136E-2</v>
      </c>
      <c r="H139" s="2">
        <f t="shared" si="10"/>
        <v>-5.8559721888545635E-2</v>
      </c>
      <c r="I139" s="2">
        <f t="shared" si="11"/>
        <v>7.3227947814847455E-2</v>
      </c>
    </row>
    <row r="140" spans="5:9">
      <c r="E140">
        <v>0.62</v>
      </c>
      <c r="F140">
        <f t="shared" si="8"/>
        <v>0.7846018098373212</v>
      </c>
      <c r="G140" s="2">
        <f t="shared" si="9"/>
        <v>7.2454635123120253E-2</v>
      </c>
      <c r="H140" s="2">
        <f t="shared" si="10"/>
        <v>-5.9492758796138454E-2</v>
      </c>
      <c r="I140" s="2">
        <f t="shared" si="11"/>
        <v>7.2472332064866127E-2</v>
      </c>
    </row>
    <row r="141" spans="5:9">
      <c r="E141">
        <v>0.61</v>
      </c>
      <c r="F141">
        <f t="shared" si="8"/>
        <v>0.79240141342630122</v>
      </c>
      <c r="G141" s="2">
        <f t="shared" si="9"/>
        <v>7.1694334923436159E-2</v>
      </c>
      <c r="H141" s="2">
        <f t="shared" si="10"/>
        <v>-6.0406827758839987E-2</v>
      </c>
      <c r="I141" s="2">
        <f t="shared" si="11"/>
        <v>7.1712579847635585E-2</v>
      </c>
    </row>
    <row r="142" spans="5:9">
      <c r="E142">
        <v>0.6</v>
      </c>
      <c r="F142">
        <f t="shared" si="8"/>
        <v>0.8</v>
      </c>
      <c r="G142" s="2">
        <f t="shared" si="9"/>
        <v>7.093002191607764E-2</v>
      </c>
      <c r="H142" s="2">
        <f t="shared" si="10"/>
        <v>-6.1302483562941774E-2</v>
      </c>
      <c r="I142" s="2">
        <f t="shared" si="11"/>
        <v>7.0948811888532567E-2</v>
      </c>
    </row>
    <row r="143" spans="5:9">
      <c r="E143">
        <v>0.59</v>
      </c>
      <c r="F143">
        <f t="shared" si="8"/>
        <v>0.80740324497737814</v>
      </c>
      <c r="G143" s="2">
        <f t="shared" si="9"/>
        <v>7.0161809396751151E-2</v>
      </c>
      <c r="H143" s="2">
        <f t="shared" si="10"/>
        <v>-6.2180246076820579E-2</v>
      </c>
      <c r="I143" s="2">
        <f t="shared" si="11"/>
        <v>7.0181141311762021E-2</v>
      </c>
    </row>
    <row r="144" spans="5:9">
      <c r="E144">
        <v>0.57999999999999996</v>
      </c>
      <c r="F144">
        <f t="shared" si="8"/>
        <v>0.81461647417665206</v>
      </c>
      <c r="G144" s="2">
        <f t="shared" si="9"/>
        <v>6.9389803682248771E-2</v>
      </c>
      <c r="H144" s="2">
        <f t="shared" si="10"/>
        <v>-6.3040603145425048E-2</v>
      </c>
      <c r="I144" s="2">
        <f t="shared" si="11"/>
        <v>6.9409674270473468E-2</v>
      </c>
    </row>
    <row r="145" spans="5:9">
      <c r="E145">
        <v>0.56999999999999995</v>
      </c>
      <c r="F145">
        <f t="shared" si="8"/>
        <v>0.82164469206585888</v>
      </c>
      <c r="G145" s="2">
        <f t="shared" si="9"/>
        <v>6.861410467440078E-2</v>
      </c>
      <c r="H145" s="2">
        <f t="shared" si="10"/>
        <v>-6.388401317802736E-2</v>
      </c>
      <c r="I145" s="2">
        <f t="shared" si="11"/>
        <v>6.8634510510099431E-2</v>
      </c>
    </row>
    <row r="146" spans="5:9">
      <c r="E146">
        <v>0.56000000000000005</v>
      </c>
      <c r="F146">
        <f t="shared" si="8"/>
        <v>0.82849260708831907</v>
      </c>
      <c r="G146" s="2">
        <f t="shared" si="9"/>
        <v>6.783480636563595E-2</v>
      </c>
      <c r="H146" s="2">
        <f t="shared" si="10"/>
        <v>-6.4710907468035678E-2</v>
      </c>
      <c r="I146" s="2">
        <f t="shared" si="11"/>
        <v>6.7855743873362628E-2</v>
      </c>
    </row>
    <row r="147" spans="5:9">
      <c r="E147">
        <v>0.55000000000000004</v>
      </c>
      <c r="F147">
        <f t="shared" si="8"/>
        <v>0.83516465442450327</v>
      </c>
      <c r="G147" s="2">
        <f t="shared" si="9"/>
        <v>6.7051997293365903E-2</v>
      </c>
      <c r="H147" s="2">
        <f t="shared" si="10"/>
        <v>-6.5521692277981131E-2</v>
      </c>
      <c r="I147" s="2">
        <f t="shared" si="11"/>
        <v>6.7073462754160762E-2</v>
      </c>
    </row>
    <row r="148" spans="5:9">
      <c r="E148">
        <v>0.54</v>
      </c>
      <c r="F148">
        <f t="shared" si="8"/>
        <v>0.84166501650003245</v>
      </c>
      <c r="G148" s="2">
        <f t="shared" si="9"/>
        <v>6.6265760949376695E-2</v>
      </c>
      <c r="H148" s="2">
        <f t="shared" si="10"/>
        <v>-6.6316750718050571E-2</v>
      </c>
      <c r="I148" s="2">
        <f t="shared" si="11"/>
        <v>6.6287750506505691E-2</v>
      </c>
    </row>
    <row r="149" spans="5:9">
      <c r="E149">
        <v>0.53</v>
      </c>
      <c r="F149">
        <f t="shared" si="8"/>
        <v>0.8479976415061542</v>
      </c>
      <c r="G149" s="2">
        <f t="shared" si="9"/>
        <v>6.5476176149544291E-2</v>
      </c>
      <c r="H149" s="2">
        <f t="shared" si="10"/>
        <v>-6.7096444442562297E-2</v>
      </c>
      <c r="I149" s="2">
        <f t="shared" si="11"/>
        <v>6.5498685813828464E-2</v>
      </c>
    </row>
    <row r="150" spans="5:9">
      <c r="E150">
        <v>0.52</v>
      </c>
      <c r="F150">
        <f t="shared" si="8"/>
        <v>0.85416626016250496</v>
      </c>
      <c r="G150" s="2">
        <f t="shared" si="9"/>
        <v>6.4683317368461599E-2</v>
      </c>
      <c r="H150" s="2">
        <f t="shared" si="10"/>
        <v>-6.7861115185435E-2</v>
      </c>
      <c r="I150" s="2">
        <f t="shared" si="11"/>
        <v>6.4706343023232651E-2</v>
      </c>
    </row>
    <row r="151" spans="5:9">
      <c r="E151">
        <v>0.51</v>
      </c>
      <c r="F151">
        <f t="shared" si="8"/>
        <v>0.86017440092111552</v>
      </c>
      <c r="G151" s="2">
        <f t="shared" si="9"/>
        <v>6.3887255042948954E-2</v>
      </c>
      <c r="H151" s="2">
        <f t="shared" si="10"/>
        <v>-6.8611086152874687E-2</v>
      </c>
      <c r="I151" s="2">
        <f t="shared" si="11"/>
        <v>6.3910792448664336E-2</v>
      </c>
    </row>
    <row r="152" spans="5:9">
      <c r="E152">
        <v>0.5</v>
      </c>
      <c r="F152">
        <f t="shared" si="8"/>
        <v>0.8660254037844386</v>
      </c>
      <c r="G152" s="2">
        <f t="shared" si="9"/>
        <v>6.308805584789684E-2</v>
      </c>
      <c r="H152" s="2">
        <f t="shared" si="10"/>
        <v>-6.9346663289106047E-2</v>
      </c>
      <c r="I152" s="2">
        <f t="shared" si="11"/>
        <v>6.31121006464435E-2</v>
      </c>
    </row>
    <row r="153" spans="5:9">
      <c r="E153">
        <v>0.49</v>
      </c>
      <c r="F153">
        <f t="shared" si="8"/>
        <v>0.87172243288790041</v>
      </c>
      <c r="G153" s="2">
        <f t="shared" si="9"/>
        <v>6.2285782947445356E-2</v>
      </c>
      <c r="H153" s="2">
        <f t="shared" si="10"/>
        <v>-7.0068136428934127E-2</v>
      </c>
      <c r="I153" s="2">
        <f t="shared" si="11"/>
        <v>6.2310330666158473E-2</v>
      </c>
    </row>
    <row r="154" spans="5:9">
      <c r="E154">
        <v>0.48</v>
      </c>
      <c r="F154">
        <f t="shared" si="8"/>
        <v>0.87726848797845236</v>
      </c>
      <c r="G154" s="2">
        <f t="shared" si="9"/>
        <v>6.1480496224125214E-2</v>
      </c>
      <c r="H154" s="2">
        <f t="shared" si="10"/>
        <v>-7.0775780349179668E-2</v>
      </c>
      <c r="I154" s="2">
        <f t="shared" si="11"/>
        <v>6.150554227954539E-2</v>
      </c>
    </row>
    <row r="155" spans="5:9">
      <c r="E155">
        <v>0.47</v>
      </c>
      <c r="F155">
        <f t="shared" si="8"/>
        <v>0.88266641490429443</v>
      </c>
      <c r="G155" s="2">
        <f t="shared" si="9"/>
        <v>6.0672252488259068E-2</v>
      </c>
      <c r="H155" s="2">
        <f t="shared" si="10"/>
        <v>-7.1469855729537762E-2</v>
      </c>
      <c r="I155" s="2">
        <f t="shared" si="11"/>
        <v>6.0697792189649075E-2</v>
      </c>
    </row>
    <row r="156" spans="5:9">
      <c r="E156">
        <v>0.46</v>
      </c>
      <c r="F156">
        <f t="shared" si="8"/>
        <v>0.88791891521692456</v>
      </c>
      <c r="G156" s="2">
        <f t="shared" si="9"/>
        <v>5.98611056696427E-2</v>
      </c>
      <c r="H156" s="2">
        <f t="shared" si="10"/>
        <v>-7.2150610032125653E-2</v>
      </c>
      <c r="I156" s="2">
        <f t="shared" si="11"/>
        <v>5.9887134222282742E-2</v>
      </c>
    </row>
    <row r="157" spans="5:9">
      <c r="E157">
        <v>0.45</v>
      </c>
      <c r="F157">
        <f t="shared" si="8"/>
        <v>0.89302855497458755</v>
      </c>
      <c r="G157" s="2">
        <f t="shared" si="9"/>
        <v>5.9047106993284131E-2</v>
      </c>
      <c r="H157" s="2">
        <f t="shared" si="10"/>
        <v>-7.2818278307878556E-2</v>
      </c>
      <c r="I157" s="2">
        <f t="shared" si="11"/>
        <v>5.907361950156275E-2</v>
      </c>
    </row>
    <row r="158" spans="5:9">
      <c r="E158">
        <v>0.44</v>
      </c>
      <c r="F158">
        <f t="shared" si="8"/>
        <v>0.89799777282574589</v>
      </c>
      <c r="G158" s="2">
        <f t="shared" si="9"/>
        <v>5.8230305140770086E-2</v>
      </c>
      <c r="H158" s="2">
        <f t="shared" si="10"/>
        <v>-7.3473083936995628E-2</v>
      </c>
      <c r="I158" s="2">
        <f t="shared" si="11"/>
        <v>5.8257296611086147E-2</v>
      </c>
    </row>
    <row r="159" spans="5:9">
      <c r="E159">
        <v>0.42999999999999899</v>
      </c>
      <c r="F159">
        <f t="shared" si="8"/>
        <v>0.90282888744213363</v>
      </c>
      <c r="G159" s="2">
        <f t="shared" si="9"/>
        <v>5.7410746398648488E-2</v>
      </c>
      <c r="H159" s="2">
        <f t="shared" si="10"/>
        <v>-7.4115239309807734E-2</v>
      </c>
      <c r="I159" s="2">
        <f t="shared" si="11"/>
        <v>5.7438211742138236E-2</v>
      </c>
    </row>
    <row r="160" spans="5:9">
      <c r="E160">
        <v>0.41999999999999899</v>
      </c>
      <c r="F160">
        <f t="shared" si="8"/>
        <v>0.90752410436307474</v>
      </c>
      <c r="G160" s="2">
        <f t="shared" si="9"/>
        <v>5.6588474795058699E-2</v>
      </c>
      <c r="H160" s="2">
        <f t="shared" si="10"/>
        <v>-7.4744946453716904E-2</v>
      </c>
      <c r="I160" s="2">
        <f t="shared" si="11"/>
        <v>5.6616408830160544E-2</v>
      </c>
    </row>
    <row r="161" spans="5:9">
      <c r="E161">
        <v>0.40999999999999898</v>
      </c>
      <c r="F161">
        <f t="shared" si="8"/>
        <v>0.91208552230588602</v>
      </c>
      <c r="G161" s="2">
        <f t="shared" si="9"/>
        <v>5.5763532225702558E-2</v>
      </c>
      <c r="H161" s="2">
        <f t="shared" si="10"/>
        <v>-7.5362397611229384E-2</v>
      </c>
      <c r="I161" s="2">
        <f t="shared" si="11"/>
        <v>5.5791929680571124E-2</v>
      </c>
    </row>
    <row r="162" spans="5:9">
      <c r="E162">
        <v>0.39999999999999902</v>
      </c>
      <c r="F162">
        <f t="shared" si="8"/>
        <v>0.91651513899116843</v>
      </c>
      <c r="G162" s="2">
        <f t="shared" si="9"/>
        <v>5.4935958570132282E-2</v>
      </c>
      <c r="H162" s="2">
        <f t="shared" si="10"/>
        <v>-7.5967775773552224E-2</v>
      </c>
      <c r="I162" s="2">
        <f t="shared" si="11"/>
        <v>5.4964814084912182E-2</v>
      </c>
    </row>
    <row r="163" spans="5:9">
      <c r="E163">
        <v>0.38999999999999901</v>
      </c>
      <c r="F163">
        <f t="shared" si="8"/>
        <v>0.92081485652654449</v>
      </c>
      <c r="G163" s="2">
        <f t="shared" si="9"/>
        <v>5.410579179922341E-2</v>
      </c>
      <c r="H163" s="2">
        <f t="shared" si="10"/>
        <v>-7.6561255173743653E-2</v>
      </c>
      <c r="I163" s="2">
        <f t="shared" si="11"/>
        <v>5.4135099928192307E-2</v>
      </c>
    </row>
    <row r="164" spans="5:9">
      <c r="E164">
        <v>0.37999999999999901</v>
      </c>
      <c r="F164">
        <f t="shared" si="8"/>
        <v>0.9249864863877747</v>
      </c>
      <c r="G164" s="2">
        <f t="shared" si="9"/>
        <v>5.3273068074610422E-2</v>
      </c>
      <c r="H164" s="2">
        <f t="shared" si="10"/>
        <v>-7.7143001742983316E-2</v>
      </c>
      <c r="I164" s="2">
        <f t="shared" si="11"/>
        <v>5.3302823288200012E-2</v>
      </c>
    </row>
    <row r="165" spans="5:9">
      <c r="E165">
        <v>0.369999999999999</v>
      </c>
      <c r="F165">
        <f t="shared" si="8"/>
        <v>0.92903175403212179</v>
      </c>
      <c r="G165" s="2">
        <f t="shared" si="9"/>
        <v>5.2437821840781197E-2</v>
      </c>
      <c r="H165" s="2">
        <f t="shared" si="10"/>
        <v>-7.7713173533156474E-2</v>
      </c>
      <c r="I165" s="2">
        <f t="shared" si="11"/>
        <v>5.2468018527484173E-2</v>
      </c>
    </row>
    <row r="166" spans="5:9">
      <c r="E166">
        <v>0.35999999999999899</v>
      </c>
      <c r="F166">
        <f t="shared" si="8"/>
        <v>0.93295230317524847</v>
      </c>
      <c r="G166" s="2">
        <f t="shared" si="9"/>
        <v>5.1600085910454688E-2</v>
      </c>
      <c r="H166" s="2">
        <f t="shared" si="10"/>
        <v>-7.8271921108617845E-2</v>
      </c>
      <c r="I166" s="2">
        <f t="shared" si="11"/>
        <v>5.1630718378624853E-2</v>
      </c>
    </row>
    <row r="167" spans="5:9">
      <c r="E167">
        <v>0.34999999999999898</v>
      </c>
      <c r="F167">
        <f t="shared" si="8"/>
        <v>0.93674969975976008</v>
      </c>
      <c r="G167" s="2">
        <f t="shared" si="9"/>
        <v>5.0759891543803046E-2</v>
      </c>
      <c r="H167" s="2">
        <f t="shared" si="10"/>
        <v>-7.8819387909710076E-2</v>
      </c>
      <c r="I167" s="2">
        <f t="shared" si="11"/>
        <v>5.0790954023355352E-2</v>
      </c>
    </row>
    <row r="168" spans="5:9">
      <c r="E168">
        <v>0.33999999999999903</v>
      </c>
      <c r="F168">
        <f t="shared" ref="F168:F202" si="12">(1-E168^2)^(1/2)</f>
        <v>0.94042543564070014</v>
      </c>
      <c r="G168" s="2">
        <f t="shared" si="9"/>
        <v>4.991726852202346E-2</v>
      </c>
      <c r="H168" s="2">
        <f t="shared" si="10"/>
        <v>-7.935571059035515E-2</v>
      </c>
      <c r="I168" s="2">
        <f t="shared" si="11"/>
        <v>4.9948755166039964E-2</v>
      </c>
    </row>
    <row r="169" spans="5:9">
      <c r="E169">
        <v>0.32999999999999902</v>
      </c>
      <c r="F169">
        <f t="shared" si="12"/>
        <v>0.94398093201081168</v>
      </c>
      <c r="G169" s="2">
        <f t="shared" si="9"/>
        <v>4.9072245215714974E-2</v>
      </c>
      <c r="H169" s="2">
        <f t="shared" si="10"/>
        <v>-7.9881019331808356E-2</v>
      </c>
      <c r="I169" s="2">
        <f t="shared" si="11"/>
        <v>4.9104150101962417E-2</v>
      </c>
    </row>
    <row r="170" spans="5:9">
      <c r="E170">
        <v>0.31999999999999901</v>
      </c>
      <c r="F170">
        <f t="shared" si="12"/>
        <v>0.94741754258616118</v>
      </c>
      <c r="G170" s="2">
        <f t="shared" si="9"/>
        <v>4.8224848648471673E-2</v>
      </c>
      <c r="H170" s="2">
        <f t="shared" si="10"/>
        <v>-8.0395438134461331E-2</v>
      </c>
      <c r="I170" s="2">
        <f t="shared" si="11"/>
        <v>4.8257165780835831E-2</v>
      </c>
    </row>
    <row r="171" spans="5:9">
      <c r="E171">
        <v>0.309999999999999</v>
      </c>
      <c r="F171">
        <f t="shared" si="12"/>
        <v>0.95073655657074663</v>
      </c>
      <c r="G171" s="2">
        <f t="shared" si="9"/>
        <v>4.7375104556063669E-2</v>
      </c>
      <c r="H171" s="2">
        <f t="shared" si="10"/>
        <v>-8.089908508940033E-2</v>
      </c>
      <c r="I171" s="2">
        <f t="shared" si="11"/>
        <v>4.740782786590518E-2</v>
      </c>
    </row>
    <row r="172" spans="5:9">
      <c r="E172">
        <v>0.29999999999999899</v>
      </c>
      <c r="F172">
        <f t="shared" si="12"/>
        <v>0.95393920141694599</v>
      </c>
      <c r="G172" s="2">
        <f t="shared" si="9"/>
        <v>4.6523037441542688E-2</v>
      </c>
      <c r="H172" s="2">
        <f t="shared" si="10"/>
        <v>-8.1392072631263163E-2</v>
      </c>
      <c r="I172" s="2">
        <f t="shared" si="11"/>
        <v>4.655616078897875E-2</v>
      </c>
    </row>
    <row r="173" spans="5:9">
      <c r="E173">
        <v>0.28999999999999898</v>
      </c>
      <c r="F173">
        <f t="shared" si="12"/>
        <v>0.95702664539708637</v>
      </c>
      <c r="G173" s="2">
        <f t="shared" si="9"/>
        <v>4.5668670626577063E-2</v>
      </c>
      <c r="H173" s="2">
        <f t="shared" si="10"/>
        <v>-8.1874507773794986E-2</v>
      </c>
      <c r="I173" s="2">
        <f t="shared" si="11"/>
        <v>4.5702187801693071E-2</v>
      </c>
    </row>
    <row r="174" spans="5:9">
      <c r="E174">
        <v>0.27999999999999903</v>
      </c>
      <c r="F174">
        <f t="shared" si="12"/>
        <v>0.9600000000000003</v>
      </c>
      <c r="G174" s="2">
        <f t="shared" si="9"/>
        <v>4.4812026299293081E-2</v>
      </c>
      <c r="H174" s="2">
        <f t="shared" si="10"/>
        <v>-8.234649232937287E-2</v>
      </c>
      <c r="I174" s="2">
        <f t="shared" si="11"/>
        <v>4.4845931023287836E-2</v>
      </c>
    </row>
    <row r="175" spans="5:9">
      <c r="E175">
        <v>0.26999999999999902</v>
      </c>
      <c r="F175">
        <f t="shared" si="12"/>
        <v>0.96286032216516249</v>
      </c>
      <c r="G175" s="2">
        <f t="shared" si="9"/>
        <v>4.3953125558873929E-2</v>
      </c>
      <c r="H175" s="2">
        <f t="shared" si="10"/>
        <v>-8.280812311365271E-2</v>
      </c>
      <c r="I175" s="2">
        <f t="shared" si="11"/>
        <v>4.3987411485141958E-2</v>
      </c>
    </row>
    <row r="176" spans="5:9">
      <c r="E176">
        <v>0.25999999999999901</v>
      </c>
      <c r="F176">
        <f t="shared" si="12"/>
        <v>0.96560861636586515</v>
      </c>
      <c r="G176" s="2">
        <f t="shared" si="9"/>
        <v>4.3091988457145243E-2</v>
      </c>
      <c r="H176" s="2">
        <f t="shared" si="10"/>
        <v>-8.3259492136388044E-2</v>
      </c>
      <c r="I176" s="2">
        <f t="shared" si="11"/>
        <v>4.3126649172299289E-2</v>
      </c>
    </row>
    <row r="177" spans="5:9">
      <c r="E177">
        <v>0.249999999999999</v>
      </c>
      <c r="F177">
        <f t="shared" si="12"/>
        <v>0.96824583655185448</v>
      </c>
      <c r="G177" s="2">
        <f t="shared" si="9"/>
        <v>4.2228634037354953E-2</v>
      </c>
      <c r="H177" s="2">
        <f t="shared" si="10"/>
        <v>-8.370068677937563E-2</v>
      </c>
      <c r="I177" s="2">
        <f t="shared" si="11"/>
        <v>4.2263663062191648E-2</v>
      </c>
    </row>
    <row r="178" spans="5:9">
      <c r="E178">
        <v>0.23999999999999899</v>
      </c>
      <c r="F178">
        <f t="shared" si="12"/>
        <v>0.97077288796092798</v>
      </c>
      <c r="G178" s="2">
        <f t="shared" si="9"/>
        <v>4.1363080370337403E-2</v>
      </c>
      <c r="H178" s="2">
        <f t="shared" si="10"/>
        <v>-8.4131789962397729E-2</v>
      </c>
      <c r="I178" s="2">
        <f t="shared" si="11"/>
        <v>4.1398471160748788E-2</v>
      </c>
    </row>
    <row r="179" spans="5:9">
      <c r="E179">
        <v>0.22999999999999901</v>
      </c>
      <c r="F179">
        <f t="shared" si="12"/>
        <v>0.97319062880814899</v>
      </c>
      <c r="G179" s="2">
        <f t="shared" si="9"/>
        <v>4.0495344588234297E-2</v>
      </c>
      <c r="H179" s="2">
        <f t="shared" si="10"/>
        <v>-8.4552880297954144E-2</v>
      </c>
      <c r="I179" s="2">
        <f t="shared" si="11"/>
        <v>4.0531090536067696E-2</v>
      </c>
    </row>
    <row r="180" spans="5:9">
      <c r="E180">
        <v>0.219999999999999</v>
      </c>
      <c r="F180">
        <f t="shared" si="12"/>
        <v>0.97549987186057607</v>
      </c>
      <c r="G180" s="2">
        <f t="shared" si="9"/>
        <v>3.9625442915930315E-2</v>
      </c>
      <c r="H180" s="2">
        <f t="shared" si="10"/>
        <v>-8.4964032235507442E-2</v>
      </c>
      <c r="I180" s="2">
        <f t="shared" si="11"/>
        <v>3.9661537349798895E-2</v>
      </c>
    </row>
    <row r="181" spans="5:9">
      <c r="E181">
        <v>0.20999999999999899</v>
      </c>
      <c r="F181">
        <f t="shared" si="12"/>
        <v>0.977701385904715</v>
      </c>
      <c r="G181" s="2">
        <f t="shared" si="9"/>
        <v>3.8753390700347126E-2</v>
      </c>
      <c r="H181" s="2">
        <f t="shared" si="10"/>
        <v>-8.5365316195901542E-2</v>
      </c>
      <c r="I181" s="2">
        <f t="shared" si="11"/>
        <v>3.8789826886393257E-2</v>
      </c>
    </row>
    <row r="182" spans="5:9">
      <c r="E182">
        <v>0.19999999999999901</v>
      </c>
      <c r="F182">
        <f t="shared" si="12"/>
        <v>0.97979589711327142</v>
      </c>
      <c r="G182" s="2">
        <f t="shared" si="9"/>
        <v>3.7879202437727272E-2</v>
      </c>
      <c r="H182" s="2">
        <f t="shared" si="10"/>
        <v>-8.575679869655628E-2</v>
      </c>
      <c r="I182" s="2">
        <f t="shared" si="11"/>
        <v>3.7915973580340677E-2</v>
      </c>
    </row>
    <row r="183" spans="5:9">
      <c r="E183">
        <v>0.189999999999999</v>
      </c>
      <c r="F183">
        <f t="shared" si="12"/>
        <v>0.98178409031721448</v>
      </c>
      <c r="G183" s="2">
        <f t="shared" si="9"/>
        <v>3.7002891799027729E-2</v>
      </c>
      <c r="H183" s="2">
        <f t="shared" si="10"/>
        <v>-8.6138542467988424E-2</v>
      </c>
      <c r="I183" s="2">
        <f t="shared" si="11"/>
        <v>3.7039991041520275E-2</v>
      </c>
    </row>
    <row r="184" spans="5:9">
      <c r="E184">
        <v>0.17999999999999899</v>
      </c>
      <c r="F184">
        <f t="shared" si="12"/>
        <v>0.98366661018863522</v>
      </c>
      <c r="G184" s="2">
        <f t="shared" si="9"/>
        <v>3.6124471653532782E-2</v>
      </c>
      <c r="H184" s="2">
        <f t="shared" si="10"/>
        <v>-8.6510606562161529E-2</v>
      </c>
      <c r="I184" s="2">
        <f t="shared" si="11"/>
        <v>3.6161892078771546E-2</v>
      </c>
    </row>
    <row r="185" spans="5:9">
      <c r="E185">
        <v>0.16999999999999901</v>
      </c>
      <c r="F185">
        <f t="shared" si="12"/>
        <v>0.98544406233941062</v>
      </c>
      <c r="G185" s="2">
        <f t="shared" si="9"/>
        <v>3.5243954090786116E-2</v>
      </c>
      <c r="H185" s="2">
        <f t="shared" si="10"/>
        <v>-8.6873046453123534E-2</v>
      </c>
      <c r="I185" s="2">
        <f t="shared" si="11"/>
        <v>3.5281688721786351E-2</v>
      </c>
    </row>
    <row r="186" spans="5:9">
      <c r="E186">
        <v>0.159999999999999</v>
      </c>
      <c r="F186">
        <f t="shared" si="12"/>
        <v>0.98711701434024546</v>
      </c>
      <c r="G186" s="2">
        <f t="shared" si="9"/>
        <v>3.4361350440933455E-2</v>
      </c>
      <c r="H186" s="2">
        <f t="shared" si="10"/>
        <v>-8.7225914130350982E-2</v>
      </c>
      <c r="I186" s="2">
        <f t="shared" si="11"/>
        <v>3.4399392241412835E-2</v>
      </c>
    </row>
    <row r="187" spans="5:9">
      <c r="E187">
        <v>0.149999999999999</v>
      </c>
      <c r="F187">
        <f t="shared" si="12"/>
        <v>0.9886859966642596</v>
      </c>
      <c r="G187" s="2">
        <f t="shared" si="9"/>
        <v>3.347667129355901E-2</v>
      </c>
      <c r="H187" s="2">
        <f t="shared" si="10"/>
        <v>-8.7569258185181645E-2</v>
      </c>
      <c r="I187" s="2">
        <f t="shared" si="11"/>
        <v>3.3515013168454524E-2</v>
      </c>
    </row>
    <row r="188" spans="5:9">
      <c r="E188">
        <v>0.13999999999999899</v>
      </c>
      <c r="F188">
        <f t="shared" si="12"/>
        <v>0.99015150355892523</v>
      </c>
      <c r="G188" s="2">
        <f t="shared" si="9"/>
        <v>3.2589926515091482E-2</v>
      </c>
      <c r="H188" s="2">
        <f t="shared" si="10"/>
        <v>-8.7903123890683985E-2</v>
      </c>
      <c r="I188" s="2">
        <f t="shared" si="11"/>
        <v>3.2628561311040187E-2</v>
      </c>
    </row>
    <row r="189" spans="5:9">
      <c r="E189">
        <v>0.12999999999999901</v>
      </c>
      <c r="F189">
        <f t="shared" si="12"/>
        <v>0.99151399384980965</v>
      </c>
      <c r="G189" s="2">
        <f t="shared" si="9"/>
        <v>3.1701125264848813E-2</v>
      </c>
      <c r="H189" s="2">
        <f t="shared" si="10"/>
        <v>-8.8227553275279966E-2</v>
      </c>
      <c r="I189" s="2">
        <f t="shared" si="11"/>
        <v>3.1740045770633524E-2</v>
      </c>
    </row>
    <row r="190" spans="5:9">
      <c r="E190">
        <v>0.119999999999999</v>
      </c>
      <c r="F190">
        <f t="shared" si="12"/>
        <v>0.99277389167926866</v>
      </c>
      <c r="G190" s="2">
        <f t="shared" si="9"/>
        <v>3.0810276009784414E-2</v>
      </c>
      <c r="H190" s="2">
        <f t="shared" si="10"/>
        <v>-8.8542585190409376E-2</v>
      </c>
      <c r="I190" s="2">
        <f t="shared" si="11"/>
        <v>3.0849474956745417E-2</v>
      </c>
    </row>
    <row r="191" spans="5:9">
      <c r="E191">
        <v>0.109999999999999</v>
      </c>
      <c r="F191">
        <f t="shared" si="12"/>
        <v>0.99393158718294095</v>
      </c>
      <c r="G191" s="2">
        <f t="shared" si="9"/>
        <v>2.9917386537991652E-2</v>
      </c>
      <c r="H191" s="2">
        <f t="shared" si="10"/>
        <v>-8.8848255372496729E-2</v>
      </c>
      <c r="I191" s="2">
        <f t="shared" si="11"/>
        <v>2.9956856600405334E-2</v>
      </c>
    </row>
    <row r="192" spans="5:9">
      <c r="E192">
        <v>9.9999999999999006E-2</v>
      </c>
      <c r="F192">
        <f t="shared" si="12"/>
        <v>0.99498743710662008</v>
      </c>
      <c r="G192" s="2">
        <f t="shared" si="9"/>
        <v>2.9022463971018209E-2</v>
      </c>
      <c r="H192" s="2">
        <f t="shared" si="10"/>
        <v>-8.9144596499456719E-2</v>
      </c>
      <c r="I192" s="2">
        <f t="shared" si="11"/>
        <v>2.9062197766443462E-2</v>
      </c>
    </row>
    <row r="193" spans="5:9">
      <c r="E193">
        <v>8.9999999999998997E-2</v>
      </c>
      <c r="F193">
        <f t="shared" si="12"/>
        <v>0.99594176536582713</v>
      </c>
      <c r="G193" s="2">
        <f t="shared" si="9"/>
        <v>2.8125514775036543E-2</v>
      </c>
      <c r="H193" s="2">
        <f t="shared" si="10"/>
        <v>-8.943163824195105E-2</v>
      </c>
      <c r="I193" s="2">
        <f t="shared" si="11"/>
        <v>2.816550486462974E-2</v>
      </c>
    </row>
    <row r="194" spans="5:9">
      <c r="E194">
        <v>7.9999999999999002E-2</v>
      </c>
      <c r="F194">
        <f t="shared" si="12"/>
        <v>0.99679486355016911</v>
      </c>
      <c r="G194" s="2">
        <f t="shared" si="9"/>
        <v>2.7226544770912176E-2</v>
      </c>
      <c r="H194" s="2">
        <f t="shared" si="10"/>
        <v>-8.9709407309587749E-2</v>
      </c>
      <c r="I194" s="2">
        <f t="shared" si="11"/>
        <v>2.7266783659711365E-2</v>
      </c>
    </row>
    <row r="195" spans="5:9">
      <c r="E195">
        <v>6.9999999999998994E-2</v>
      </c>
      <c r="F195">
        <f t="shared" si="12"/>
        <v>0.99754699137434122</v>
      </c>
      <c r="G195" s="2">
        <f t="shared" ref="G195:G202" si="13">$B$8*E195+$B$9*F195</f>
        <v>2.6325559143206827E-2</v>
      </c>
      <c r="H195" s="2">
        <f t="shared" ref="H195:H202" si="14">$B$9*E195-$B$8*F195</f>
        <v>-8.9977927492232879E-2</v>
      </c>
      <c r="I195" s="2">
        <f t="shared" ref="I195:I202" si="15">$B$10*G195+$B$10^2*H195^2/200</f>
        <v>2.6366039280385813E-2</v>
      </c>
    </row>
    <row r="196" spans="5:9">
      <c r="E196">
        <v>5.9999999999999103E-2</v>
      </c>
      <c r="F196">
        <f t="shared" si="12"/>
        <v>0.99819837707742243</v>
      </c>
      <c r="G196" s="2">
        <f t="shared" si="13"/>
        <v>2.5422562448149371E-2</v>
      </c>
      <c r="H196" s="2">
        <f t="shared" si="14"/>
        <v>-9.0237219696586088E-2</v>
      </c>
      <c r="I196" s="2">
        <f t="shared" si="15"/>
        <v>2.5463276227242222E-2</v>
      </c>
    </row>
    <row r="197" spans="5:9">
      <c r="E197">
        <v>4.9999999999998997E-2</v>
      </c>
      <c r="F197">
        <f t="shared" si="12"/>
        <v>0.99874921777190895</v>
      </c>
      <c r="G197" s="2">
        <f t="shared" si="13"/>
        <v>2.4517558620603383E-2</v>
      </c>
      <c r="H197" s="2">
        <f t="shared" si="14"/>
        <v>-9.0487301978152038E-2</v>
      </c>
      <c r="I197" s="2">
        <f t="shared" si="15"/>
        <v>2.4558498379699808E-2</v>
      </c>
    </row>
    <row r="198" spans="5:9">
      <c r="E198">
        <v>3.9999999999999002E-2</v>
      </c>
      <c r="F198">
        <f t="shared" si="12"/>
        <v>0.9991996797437438</v>
      </c>
      <c r="G198" s="2">
        <f t="shared" si="13"/>
        <v>2.3610550980056585E-2</v>
      </c>
      <c r="H198" s="2">
        <f t="shared" si="14"/>
        <v>-9.0728189568723069E-2</v>
      </c>
      <c r="I198" s="2">
        <f t="shared" si="15"/>
        <v>2.3651709001968675E-2</v>
      </c>
    </row>
    <row r="199" spans="5:9">
      <c r="E199">
        <v>2.9999999999999E-2</v>
      </c>
      <c r="F199">
        <f t="shared" si="12"/>
        <v>0.99954989870441191</v>
      </c>
      <c r="G199" s="2">
        <f t="shared" si="13"/>
        <v>2.2701542235653203E-2</v>
      </c>
      <c r="H199" s="2">
        <f t="shared" si="14"/>
        <v>-9.0959894899471247E-2</v>
      </c>
      <c r="I199" s="2">
        <f t="shared" si="15"/>
        <v>2.2742910748053818E-2</v>
      </c>
    </row>
    <row r="200" spans="5:9">
      <c r="E200">
        <v>1.9999999999999001E-2</v>
      </c>
      <c r="F200">
        <f t="shared" si="12"/>
        <v>0.99979997999599901</v>
      </c>
      <c r="G200" s="2">
        <f t="shared" si="13"/>
        <v>2.1790534490287516E-2</v>
      </c>
      <c r="H200" s="2">
        <f t="shared" si="14"/>
        <v>-9.1182427619731582E-2</v>
      </c>
      <c r="I200" s="2">
        <f t="shared" si="15"/>
        <v>2.1832105665820653E-2</v>
      </c>
    </row>
    <row r="201" spans="5:9">
      <c r="E201">
        <v>9.9999999999990097E-3</v>
      </c>
      <c r="F201">
        <f t="shared" si="12"/>
        <v>0.99994999874993751</v>
      </c>
      <c r="G201" s="2">
        <f t="shared" si="13"/>
        <v>2.0877529243772792E-2</v>
      </c>
      <c r="H201" s="2">
        <f t="shared" si="14"/>
        <v>-9.1395794611543318E-2</v>
      </c>
      <c r="I201" s="2">
        <f t="shared" si="15"/>
        <v>2.0919295200136169E-2</v>
      </c>
    </row>
    <row r="202" spans="5:9">
      <c r="E202">
        <v>0</v>
      </c>
      <c r="F202">
        <f t="shared" si="12"/>
        <v>1</v>
      </c>
      <c r="G202" s="2">
        <f t="shared" si="13"/>
        <v>1.9962527395097043E-2</v>
      </c>
      <c r="H202" s="2">
        <f t="shared" si="14"/>
        <v>-9.1600000000000001E-2</v>
      </c>
      <c r="I202" s="2">
        <f t="shared" si="15"/>
        <v>2.0004480195097044E-2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2"/>
  <sheetViews>
    <sheetView topLeftCell="A72" workbookViewId="0">
      <selection activeCell="J102" sqref="J102"/>
    </sheetView>
  </sheetViews>
  <sheetFormatPr defaultRowHeight="15"/>
  <sheetData>
    <row r="1" spans="1:10">
      <c r="A1" s="1" t="s">
        <v>11</v>
      </c>
      <c r="B1" s="2">
        <v>9.375E-2</v>
      </c>
      <c r="D1" s="1" t="s">
        <v>14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12</v>
      </c>
      <c r="B2" s="2">
        <v>9.1600000000000001E-2</v>
      </c>
      <c r="D2">
        <v>0</v>
      </c>
      <c r="E2" s="2">
        <f>D2*$B$7+D2^2*$B$8^2/200</f>
        <v>0</v>
      </c>
      <c r="F2" s="2">
        <f>D2*$B$12+D2^2*$B$13^2/200</f>
        <v>0</v>
      </c>
      <c r="G2" s="2">
        <f>D2*$B$17+D2^2*$B$18^2/200</f>
        <v>0</v>
      </c>
      <c r="H2">
        <f>$B$20-E2*$B$20</f>
        <v>110</v>
      </c>
      <c r="I2">
        <f>$B$20-F2*$B$20</f>
        <v>110</v>
      </c>
      <c r="J2">
        <f>$B$20-G2*$B$20</f>
        <v>110</v>
      </c>
    </row>
    <row r="3" spans="1:10">
      <c r="A3" s="1" t="s">
        <v>13</v>
      </c>
      <c r="B3" s="2">
        <v>0.02</v>
      </c>
      <c r="D3">
        <v>0.01</v>
      </c>
      <c r="E3" s="2">
        <f t="shared" ref="E3:E66" si="0">D3*$B$7+D3^2*$B$8^2/200</f>
        <v>6.1280251766080004E-4</v>
      </c>
      <c r="F3" s="2">
        <f t="shared" ref="F3:F66" si="1">D3*$B$12+D3^2*$B$13^2/200</f>
        <v>9.160002E-4</v>
      </c>
      <c r="G3" s="2">
        <f t="shared" ref="G3:G66" si="2">D3*$B$17+D3^2*$B$18^2/200</f>
        <v>8.5280075894079987E-4</v>
      </c>
      <c r="H3">
        <f t="shared" ref="H3:H66" si="3">$B$20-E3*$B$20</f>
        <v>109.93259172305731</v>
      </c>
      <c r="I3">
        <f t="shared" ref="I3:I66" si="4">$B$20-F3*$B$20</f>
        <v>109.899239978</v>
      </c>
      <c r="J3">
        <f t="shared" ref="J3:J66" si="5">$B$20-G3*$B$20</f>
        <v>109.90619191651651</v>
      </c>
    </row>
    <row r="4" spans="1:10">
      <c r="D4">
        <v>0.02</v>
      </c>
      <c r="E4" s="2">
        <f t="shared" si="0"/>
        <v>1.2256100706432001E-3</v>
      </c>
      <c r="F4" s="2">
        <f t="shared" si="1"/>
        <v>1.8320008000000001E-3</v>
      </c>
      <c r="G4" s="2">
        <f t="shared" si="2"/>
        <v>1.7056030357631999E-3</v>
      </c>
      <c r="H4">
        <f t="shared" si="3"/>
        <v>109.86518289222924</v>
      </c>
      <c r="I4">
        <f t="shared" si="4"/>
        <v>109.798479912</v>
      </c>
      <c r="J4">
        <f t="shared" si="5"/>
        <v>109.81238366606605</v>
      </c>
    </row>
    <row r="5" spans="1:10" ht="15.75">
      <c r="A5" s="11" t="s">
        <v>49</v>
      </c>
      <c r="B5" s="3">
        <v>0.8</v>
      </c>
      <c r="C5" t="s">
        <v>15</v>
      </c>
      <c r="D5">
        <v>0.03</v>
      </c>
      <c r="E5" s="2">
        <f t="shared" si="0"/>
        <v>1.8384226589472001E-3</v>
      </c>
      <c r="F5" s="2">
        <f t="shared" si="1"/>
        <v>2.7480018000000002E-3</v>
      </c>
      <c r="G5" s="2">
        <f t="shared" si="2"/>
        <v>2.5584068304671998E-3</v>
      </c>
      <c r="H5">
        <f t="shared" si="3"/>
        <v>109.79777350751581</v>
      </c>
      <c r="I5">
        <f t="shared" si="4"/>
        <v>109.69771980199999</v>
      </c>
      <c r="J5">
        <f t="shared" si="5"/>
        <v>109.71857524864861</v>
      </c>
    </row>
    <row r="6" spans="1:10" ht="15.75">
      <c r="A6" s="12" t="s">
        <v>45</v>
      </c>
      <c r="B6" s="3">
        <f>-((1-$B$5^2)^(1/2))</f>
        <v>-0.59999999999999987</v>
      </c>
      <c r="D6">
        <v>0.04</v>
      </c>
      <c r="E6" s="2">
        <f t="shared" si="0"/>
        <v>2.4512402825728002E-3</v>
      </c>
      <c r="F6" s="2">
        <f t="shared" si="1"/>
        <v>3.6640031999999999E-3</v>
      </c>
      <c r="G6" s="2">
        <f t="shared" si="2"/>
        <v>3.4112121430527995E-3</v>
      </c>
      <c r="H6">
        <f t="shared" si="3"/>
        <v>109.73036356891699</v>
      </c>
      <c r="I6">
        <f t="shared" si="4"/>
        <v>109.596959648</v>
      </c>
      <c r="J6">
        <f t="shared" si="5"/>
        <v>109.62476666426419</v>
      </c>
    </row>
    <row r="7" spans="1:10">
      <c r="A7" s="1" t="s">
        <v>50</v>
      </c>
      <c r="B7" s="2">
        <f>$B$2*$B$5+$B$3*$B$6</f>
        <v>6.1280000000000001E-2</v>
      </c>
      <c r="D7">
        <v>0.05</v>
      </c>
      <c r="E7" s="2">
        <f t="shared" si="0"/>
        <v>3.0640629415200002E-3</v>
      </c>
      <c r="F7" s="2">
        <f t="shared" si="1"/>
        <v>4.5800049999999998E-3</v>
      </c>
      <c r="G7" s="2">
        <f t="shared" si="2"/>
        <v>4.2640189735199995E-3</v>
      </c>
      <c r="H7">
        <f t="shared" si="3"/>
        <v>109.6629530764328</v>
      </c>
      <c r="I7">
        <f t="shared" si="4"/>
        <v>109.49619945000001</v>
      </c>
      <c r="J7">
        <f t="shared" si="5"/>
        <v>109.5309579129128</v>
      </c>
    </row>
    <row r="8" spans="1:10">
      <c r="A8" s="1" t="s">
        <v>51</v>
      </c>
      <c r="B8" s="2">
        <f>$B$3*$B$5-$B$2*$B$6</f>
        <v>7.0959999999999995E-2</v>
      </c>
      <c r="D8">
        <v>0.06</v>
      </c>
      <c r="E8" s="2">
        <f t="shared" si="0"/>
        <v>3.6768906357888E-3</v>
      </c>
      <c r="F8" s="2">
        <f t="shared" si="1"/>
        <v>5.4960071999999999E-3</v>
      </c>
      <c r="G8" s="2">
        <f t="shared" si="2"/>
        <v>5.1168273218687998E-3</v>
      </c>
      <c r="H8">
        <f t="shared" si="3"/>
        <v>109.59554203006323</v>
      </c>
      <c r="I8">
        <f t="shared" si="4"/>
        <v>109.395439208</v>
      </c>
      <c r="J8">
        <f t="shared" si="5"/>
        <v>109.43714899459444</v>
      </c>
    </row>
    <row r="9" spans="1:10">
      <c r="D9">
        <v>7.0000000000000007E-2</v>
      </c>
      <c r="E9" s="2">
        <f t="shared" si="0"/>
        <v>4.2897233653792005E-3</v>
      </c>
      <c r="F9" s="2">
        <f t="shared" si="1"/>
        <v>6.4120098000000009E-3</v>
      </c>
      <c r="G9" s="2">
        <f t="shared" si="2"/>
        <v>5.9696371880992001E-3</v>
      </c>
      <c r="H9">
        <f t="shared" si="3"/>
        <v>109.52813042980829</v>
      </c>
      <c r="I9">
        <f t="shared" si="4"/>
        <v>109.294678922</v>
      </c>
      <c r="J9">
        <f t="shared" si="5"/>
        <v>109.34333990930909</v>
      </c>
    </row>
    <row r="10" spans="1:10" ht="15.75">
      <c r="A10" s="12" t="s">
        <v>52</v>
      </c>
      <c r="B10" s="3">
        <v>1</v>
      </c>
      <c r="D10">
        <v>0.08</v>
      </c>
      <c r="E10" s="2">
        <f t="shared" si="0"/>
        <v>4.9025611302912003E-3</v>
      </c>
      <c r="F10" s="2">
        <f t="shared" si="1"/>
        <v>7.3280128000000003E-3</v>
      </c>
      <c r="G10" s="2">
        <f t="shared" si="2"/>
        <v>6.8224485722111995E-3</v>
      </c>
      <c r="H10">
        <f t="shared" si="3"/>
        <v>109.46071827566797</v>
      </c>
      <c r="I10">
        <f t="shared" si="4"/>
        <v>109.193918592</v>
      </c>
      <c r="J10">
        <f t="shared" si="5"/>
        <v>109.24953065705677</v>
      </c>
    </row>
    <row r="11" spans="1:10" ht="15.75">
      <c r="A11" s="12" t="s">
        <v>53</v>
      </c>
      <c r="B11" s="3">
        <v>0</v>
      </c>
      <c r="D11">
        <v>0.09</v>
      </c>
      <c r="E11" s="2">
        <f t="shared" si="0"/>
        <v>5.5154039305247999E-3</v>
      </c>
      <c r="F11" s="2">
        <f t="shared" si="1"/>
        <v>8.244016199999999E-3</v>
      </c>
      <c r="G11" s="2">
        <f t="shared" si="2"/>
        <v>7.6752614742047996E-3</v>
      </c>
      <c r="H11">
        <f t="shared" si="3"/>
        <v>109.39330556764227</v>
      </c>
      <c r="I11">
        <f t="shared" si="4"/>
        <v>109.093158218</v>
      </c>
      <c r="J11">
        <f t="shared" si="5"/>
        <v>109.15572123783747</v>
      </c>
    </row>
    <row r="12" spans="1:10">
      <c r="A12" s="1" t="s">
        <v>54</v>
      </c>
      <c r="B12" s="2">
        <f>$B$2*$B$10+$B$3*$B$11</f>
        <v>9.1600000000000001E-2</v>
      </c>
      <c r="D12">
        <v>0.1</v>
      </c>
      <c r="E12" s="2">
        <f t="shared" si="0"/>
        <v>6.128251766080001E-3</v>
      </c>
      <c r="F12" s="2">
        <f t="shared" si="1"/>
        <v>9.1600199999999996E-3</v>
      </c>
      <c r="G12" s="2">
        <f t="shared" si="2"/>
        <v>8.5280758940799988E-3</v>
      </c>
      <c r="H12">
        <f t="shared" si="3"/>
        <v>109.3258923057312</v>
      </c>
      <c r="I12">
        <f t="shared" si="4"/>
        <v>108.99239780000001</v>
      </c>
      <c r="J12">
        <f t="shared" si="5"/>
        <v>109.0619116516512</v>
      </c>
    </row>
    <row r="13" spans="1:10">
      <c r="A13" s="1" t="s">
        <v>55</v>
      </c>
      <c r="B13" s="2">
        <f>$B$3*$B$10-$B$2*$B$11</f>
        <v>0.02</v>
      </c>
      <c r="D13">
        <v>0.11</v>
      </c>
      <c r="E13" s="2">
        <f t="shared" si="0"/>
        <v>6.7411046369568002E-3</v>
      </c>
      <c r="F13" s="2">
        <f t="shared" si="1"/>
        <v>1.00760242E-2</v>
      </c>
      <c r="G13" s="2">
        <f t="shared" si="2"/>
        <v>9.3808918318367997E-3</v>
      </c>
      <c r="H13">
        <f t="shared" si="3"/>
        <v>109.25847848993475</v>
      </c>
      <c r="I13">
        <f t="shared" si="4"/>
        <v>108.891637338</v>
      </c>
      <c r="J13">
        <f t="shared" si="5"/>
        <v>108.96810189849795</v>
      </c>
    </row>
    <row r="14" spans="1:10">
      <c r="A14" s="1"/>
      <c r="D14">
        <v>0.12</v>
      </c>
      <c r="E14" s="2">
        <f t="shared" si="0"/>
        <v>7.3539625431552E-3</v>
      </c>
      <c r="F14" s="2">
        <f t="shared" si="1"/>
        <v>1.0992028799999999E-2</v>
      </c>
      <c r="G14" s="2">
        <f t="shared" si="2"/>
        <v>1.0233709287475199E-2</v>
      </c>
      <c r="H14">
        <f t="shared" si="3"/>
        <v>109.19106412025293</v>
      </c>
      <c r="I14">
        <f t="shared" si="4"/>
        <v>108.790876832</v>
      </c>
      <c r="J14">
        <f t="shared" si="5"/>
        <v>108.87429197837773</v>
      </c>
    </row>
    <row r="15" spans="1:10" ht="15.75">
      <c r="A15" s="12" t="s">
        <v>56</v>
      </c>
      <c r="B15" s="3">
        <v>0.8</v>
      </c>
      <c r="C15" t="s">
        <v>22</v>
      </c>
      <c r="D15">
        <v>0.13</v>
      </c>
      <c r="E15" s="2">
        <f t="shared" si="0"/>
        <v>7.9668254846751996E-3</v>
      </c>
      <c r="F15" s="2">
        <f t="shared" si="1"/>
        <v>1.19080338E-2</v>
      </c>
      <c r="G15" s="2">
        <f t="shared" si="2"/>
        <v>1.1086528260995199E-2</v>
      </c>
      <c r="H15">
        <f t="shared" si="3"/>
        <v>109.12364919668573</v>
      </c>
      <c r="I15">
        <f t="shared" si="4"/>
        <v>108.69011628200001</v>
      </c>
      <c r="J15">
        <f t="shared" si="5"/>
        <v>108.78048189129053</v>
      </c>
    </row>
    <row r="16" spans="1:10">
      <c r="A16" s="1" t="s">
        <v>57</v>
      </c>
      <c r="B16" s="3">
        <f>(1-$B$15^2)^(1/2)</f>
        <v>0.59999999999999987</v>
      </c>
      <c r="D16">
        <v>0.14000000000000001</v>
      </c>
      <c r="E16" s="2">
        <f t="shared" si="0"/>
        <v>8.5796934615167998E-3</v>
      </c>
      <c r="F16" s="2">
        <f t="shared" si="1"/>
        <v>1.2824039200000002E-2</v>
      </c>
      <c r="G16" s="2">
        <f t="shared" si="2"/>
        <v>1.19393487523968E-2</v>
      </c>
      <c r="H16">
        <f t="shared" si="3"/>
        <v>109.05623371923315</v>
      </c>
      <c r="I16">
        <f t="shared" si="4"/>
        <v>108.589355688</v>
      </c>
      <c r="J16">
        <f t="shared" si="5"/>
        <v>108.68667163723636</v>
      </c>
    </row>
    <row r="17" spans="1:10">
      <c r="A17" s="1" t="s">
        <v>58</v>
      </c>
      <c r="B17" s="2">
        <f>$B$2*$B$15+$B$3*$B$16</f>
        <v>8.5279999999999995E-2</v>
      </c>
      <c r="D17">
        <v>0.15</v>
      </c>
      <c r="E17" s="2">
        <f t="shared" si="0"/>
        <v>9.1925664736800007E-3</v>
      </c>
      <c r="F17" s="2">
        <f t="shared" si="1"/>
        <v>1.3740045000000001E-2</v>
      </c>
      <c r="G17" s="2">
        <f t="shared" si="2"/>
        <v>1.2792170761679999E-2</v>
      </c>
      <c r="H17">
        <f t="shared" si="3"/>
        <v>108.98881768789521</v>
      </c>
      <c r="I17">
        <f t="shared" si="4"/>
        <v>108.48859505</v>
      </c>
      <c r="J17">
        <f t="shared" si="5"/>
        <v>108.5928612162152</v>
      </c>
    </row>
    <row r="18" spans="1:10">
      <c r="A18" s="1" t="s">
        <v>59</v>
      </c>
      <c r="B18" s="2">
        <f>$B$3*$B$15-$B$2*$B$16</f>
        <v>-3.8959999999999988E-2</v>
      </c>
      <c r="D18">
        <v>0.16</v>
      </c>
      <c r="E18" s="2">
        <f t="shared" si="0"/>
        <v>9.8054445211648005E-3</v>
      </c>
      <c r="F18" s="2">
        <f t="shared" si="1"/>
        <v>1.4656051200000001E-2</v>
      </c>
      <c r="G18" s="2">
        <f t="shared" si="2"/>
        <v>1.3644994288844799E-2</v>
      </c>
      <c r="H18">
        <f t="shared" si="3"/>
        <v>108.92140110267187</v>
      </c>
      <c r="I18">
        <f t="shared" si="4"/>
        <v>108.387834368</v>
      </c>
      <c r="J18">
        <f t="shared" si="5"/>
        <v>108.49905062822707</v>
      </c>
    </row>
    <row r="19" spans="1:10">
      <c r="D19">
        <v>0.17</v>
      </c>
      <c r="E19" s="2">
        <f t="shared" si="0"/>
        <v>1.0418327603971201E-2</v>
      </c>
      <c r="F19" s="2">
        <f t="shared" si="1"/>
        <v>1.5572057800000001E-2</v>
      </c>
      <c r="G19" s="2">
        <f t="shared" si="2"/>
        <v>1.44978193338912E-2</v>
      </c>
      <c r="H19">
        <f t="shared" si="3"/>
        <v>108.85398396356317</v>
      </c>
      <c r="I19">
        <f t="shared" si="4"/>
        <v>108.287073642</v>
      </c>
      <c r="J19">
        <f t="shared" si="5"/>
        <v>108.40523987327197</v>
      </c>
    </row>
    <row r="20" spans="1:10">
      <c r="A20" s="1" t="s">
        <v>1</v>
      </c>
      <c r="B20">
        <v>110</v>
      </c>
      <c r="D20">
        <v>0.18</v>
      </c>
      <c r="E20" s="2">
        <f t="shared" si="0"/>
        <v>1.1031215722099199E-2</v>
      </c>
      <c r="F20" s="2">
        <f t="shared" si="1"/>
        <v>1.64880648E-2</v>
      </c>
      <c r="G20" s="2">
        <f t="shared" si="2"/>
        <v>1.5350645896819198E-2</v>
      </c>
      <c r="H20">
        <f t="shared" si="3"/>
        <v>108.78656627056908</v>
      </c>
      <c r="I20">
        <f t="shared" si="4"/>
        <v>108.186312872</v>
      </c>
      <c r="J20">
        <f t="shared" si="5"/>
        <v>108.31142895134988</v>
      </c>
    </row>
    <row r="21" spans="1:10">
      <c r="D21">
        <v>0.19</v>
      </c>
      <c r="E21" s="2">
        <f t="shared" si="0"/>
        <v>1.16441088755488E-2</v>
      </c>
      <c r="F21" s="2">
        <f t="shared" si="1"/>
        <v>1.7404072199999999E-2</v>
      </c>
      <c r="G21" s="2">
        <f t="shared" si="2"/>
        <v>1.6203473977628797E-2</v>
      </c>
      <c r="H21">
        <f t="shared" si="3"/>
        <v>108.71914802368963</v>
      </c>
      <c r="I21">
        <f t="shared" si="4"/>
        <v>108.085552058</v>
      </c>
      <c r="J21">
        <f t="shared" si="5"/>
        <v>108.21761786246083</v>
      </c>
    </row>
    <row r="22" spans="1:10">
      <c r="D22">
        <v>0.2</v>
      </c>
      <c r="E22" s="2">
        <f t="shared" si="0"/>
        <v>1.2257007064320001E-2</v>
      </c>
      <c r="F22" s="2">
        <f t="shared" si="1"/>
        <v>1.8320079999999999E-2</v>
      </c>
      <c r="G22" s="2">
        <f t="shared" si="2"/>
        <v>1.7056303576319997E-2</v>
      </c>
      <c r="H22">
        <f t="shared" si="3"/>
        <v>108.6517292229248</v>
      </c>
      <c r="I22">
        <f t="shared" si="4"/>
        <v>107.9847912</v>
      </c>
      <c r="J22">
        <f t="shared" si="5"/>
        <v>108.1238066066048</v>
      </c>
    </row>
    <row r="23" spans="1:10">
      <c r="D23">
        <v>0.21</v>
      </c>
      <c r="E23" s="2">
        <f t="shared" si="0"/>
        <v>1.2869910288412799E-2</v>
      </c>
      <c r="F23" s="2">
        <f t="shared" si="1"/>
        <v>1.9236088200000001E-2</v>
      </c>
      <c r="G23" s="2">
        <f t="shared" si="2"/>
        <v>1.7909134692892799E-2</v>
      </c>
      <c r="H23">
        <f t="shared" si="3"/>
        <v>108.58430986827459</v>
      </c>
      <c r="I23">
        <f t="shared" si="4"/>
        <v>107.884030298</v>
      </c>
      <c r="J23">
        <f t="shared" si="5"/>
        <v>108.02999518378179</v>
      </c>
    </row>
    <row r="24" spans="1:10">
      <c r="D24">
        <v>0.22</v>
      </c>
      <c r="E24" s="2">
        <f t="shared" si="0"/>
        <v>1.3482818547827199E-2</v>
      </c>
      <c r="F24" s="2">
        <f t="shared" si="1"/>
        <v>2.0152096799999998E-2</v>
      </c>
      <c r="G24" s="2">
        <f t="shared" si="2"/>
        <v>1.8761967327347199E-2</v>
      </c>
      <c r="H24">
        <f t="shared" si="3"/>
        <v>108.516889959739</v>
      </c>
      <c r="I24">
        <f t="shared" si="4"/>
        <v>107.783269352</v>
      </c>
      <c r="J24">
        <f t="shared" si="5"/>
        <v>107.93618359399181</v>
      </c>
    </row>
    <row r="25" spans="1:10">
      <c r="D25">
        <v>0.23</v>
      </c>
      <c r="E25" s="2">
        <f t="shared" si="0"/>
        <v>1.4095731842563202E-2</v>
      </c>
      <c r="F25" s="2">
        <f t="shared" si="1"/>
        <v>2.10681058E-2</v>
      </c>
      <c r="G25" s="2">
        <f t="shared" si="2"/>
        <v>1.9614801479683201E-2</v>
      </c>
      <c r="H25">
        <f t="shared" si="3"/>
        <v>108.44946949731805</v>
      </c>
      <c r="I25">
        <f t="shared" si="4"/>
        <v>107.68250836199999</v>
      </c>
      <c r="J25">
        <f t="shared" si="5"/>
        <v>107.84237183723485</v>
      </c>
    </row>
    <row r="26" spans="1:10">
      <c r="D26">
        <v>0.24</v>
      </c>
      <c r="E26" s="2">
        <f t="shared" si="0"/>
        <v>1.47086501726208E-2</v>
      </c>
      <c r="F26" s="2">
        <f t="shared" si="1"/>
        <v>2.1984115200000001E-2</v>
      </c>
      <c r="G26" s="2">
        <f t="shared" si="2"/>
        <v>2.0467637149900797E-2</v>
      </c>
      <c r="H26">
        <f t="shared" si="3"/>
        <v>108.38204848101171</v>
      </c>
      <c r="I26">
        <f t="shared" si="4"/>
        <v>107.58174732800001</v>
      </c>
      <c r="J26">
        <f t="shared" si="5"/>
        <v>107.74855991351092</v>
      </c>
    </row>
    <row r="27" spans="1:10">
      <c r="D27">
        <v>0.25</v>
      </c>
      <c r="E27" s="2">
        <f t="shared" si="0"/>
        <v>1.5321573538E-2</v>
      </c>
      <c r="F27" s="2">
        <f t="shared" si="1"/>
        <v>2.2900125E-2</v>
      </c>
      <c r="G27" s="2">
        <f t="shared" si="2"/>
        <v>2.1320474337999998E-2</v>
      </c>
      <c r="H27">
        <f t="shared" si="3"/>
        <v>108.31462691082</v>
      </c>
      <c r="I27">
        <f t="shared" si="4"/>
        <v>107.48098625</v>
      </c>
      <c r="J27">
        <f t="shared" si="5"/>
        <v>107.65474782282</v>
      </c>
    </row>
    <row r="28" spans="1:10">
      <c r="D28">
        <v>0.26</v>
      </c>
      <c r="E28" s="2">
        <f t="shared" si="0"/>
        <v>1.5934501938700801E-2</v>
      </c>
      <c r="F28" s="2">
        <f t="shared" si="1"/>
        <v>2.3816135200000001E-2</v>
      </c>
      <c r="G28" s="2">
        <f t="shared" si="2"/>
        <v>2.2173313043980798E-2</v>
      </c>
      <c r="H28">
        <f t="shared" si="3"/>
        <v>108.24720478674291</v>
      </c>
      <c r="I28">
        <f t="shared" si="4"/>
        <v>107.38022512800001</v>
      </c>
      <c r="J28">
        <f t="shared" si="5"/>
        <v>107.56093556516211</v>
      </c>
    </row>
    <row r="29" spans="1:10">
      <c r="D29">
        <v>0.27</v>
      </c>
      <c r="E29" s="2">
        <f t="shared" si="0"/>
        <v>1.65474353747232E-2</v>
      </c>
      <c r="F29" s="2">
        <f t="shared" si="1"/>
        <v>2.4732145800000001E-2</v>
      </c>
      <c r="G29" s="2">
        <f t="shared" si="2"/>
        <v>2.30261532678432E-2</v>
      </c>
      <c r="H29">
        <f t="shared" si="3"/>
        <v>108.17978210878044</v>
      </c>
      <c r="I29">
        <f t="shared" si="4"/>
        <v>107.27946396199999</v>
      </c>
      <c r="J29">
        <f t="shared" si="5"/>
        <v>107.46712314053725</v>
      </c>
    </row>
    <row r="30" spans="1:10">
      <c r="D30">
        <v>0.28000000000000003</v>
      </c>
      <c r="E30" s="2">
        <f t="shared" si="0"/>
        <v>1.7160373846067202E-2</v>
      </c>
      <c r="F30" s="2">
        <f t="shared" si="1"/>
        <v>2.5648156800000006E-2</v>
      </c>
      <c r="G30" s="2">
        <f t="shared" si="2"/>
        <v>2.3878995009587203E-2</v>
      </c>
      <c r="H30">
        <f t="shared" si="3"/>
        <v>108.1123588769326</v>
      </c>
      <c r="I30">
        <f t="shared" si="4"/>
        <v>107.17870275199999</v>
      </c>
      <c r="J30">
        <f t="shared" si="5"/>
        <v>107.37331054894541</v>
      </c>
    </row>
    <row r="31" spans="1:10">
      <c r="D31">
        <v>0.28999999999999998</v>
      </c>
      <c r="E31" s="2">
        <f t="shared" si="0"/>
        <v>1.7773317352732798E-2</v>
      </c>
      <c r="F31" s="2">
        <f t="shared" si="1"/>
        <v>2.6564168199999998E-2</v>
      </c>
      <c r="G31" s="2">
        <f t="shared" si="2"/>
        <v>2.4731838269212797E-2</v>
      </c>
      <c r="H31">
        <f t="shared" si="3"/>
        <v>108.04493509119939</v>
      </c>
      <c r="I31">
        <f t="shared" si="4"/>
        <v>107.077941498</v>
      </c>
      <c r="J31">
        <f t="shared" si="5"/>
        <v>107.27949779038659</v>
      </c>
    </row>
    <row r="32" spans="1:10">
      <c r="D32">
        <v>0.3</v>
      </c>
      <c r="E32" s="2">
        <f t="shared" si="0"/>
        <v>1.8386265894720002E-2</v>
      </c>
      <c r="F32" s="2">
        <f t="shared" si="1"/>
        <v>2.748018E-2</v>
      </c>
      <c r="G32" s="2">
        <f t="shared" si="2"/>
        <v>2.558468304672E-2</v>
      </c>
      <c r="H32">
        <f t="shared" si="3"/>
        <v>107.97751075158079</v>
      </c>
      <c r="I32">
        <f t="shared" si="4"/>
        <v>106.97718020000001</v>
      </c>
      <c r="J32">
        <f t="shared" si="5"/>
        <v>107.1856848648608</v>
      </c>
    </row>
    <row r="33" spans="4:10">
      <c r="D33">
        <v>0.31</v>
      </c>
      <c r="E33" s="2">
        <f t="shared" si="0"/>
        <v>1.8999219472028803E-2</v>
      </c>
      <c r="F33" s="2">
        <f t="shared" si="1"/>
        <v>2.83961922E-2</v>
      </c>
      <c r="G33" s="2">
        <f t="shared" si="2"/>
        <v>2.6437529342108801E-2</v>
      </c>
      <c r="H33">
        <f t="shared" si="3"/>
        <v>107.91008585807683</v>
      </c>
      <c r="I33">
        <f t="shared" si="4"/>
        <v>106.87641885799999</v>
      </c>
      <c r="J33">
        <f t="shared" si="5"/>
        <v>107.09187177236804</v>
      </c>
    </row>
    <row r="34" spans="4:10">
      <c r="D34">
        <v>0.32</v>
      </c>
      <c r="E34" s="2">
        <f t="shared" si="0"/>
        <v>1.9612178084659201E-2</v>
      </c>
      <c r="F34" s="2">
        <f t="shared" si="1"/>
        <v>2.9312204800000002E-2</v>
      </c>
      <c r="G34" s="2">
        <f t="shared" si="2"/>
        <v>2.7290377155379197E-2</v>
      </c>
      <c r="H34">
        <f t="shared" si="3"/>
        <v>107.84266041068749</v>
      </c>
      <c r="I34">
        <f t="shared" si="4"/>
        <v>106.77565747200001</v>
      </c>
      <c r="J34">
        <f t="shared" si="5"/>
        <v>106.99805851290829</v>
      </c>
    </row>
    <row r="35" spans="4:10">
      <c r="D35">
        <v>0.33</v>
      </c>
      <c r="E35" s="2">
        <f t="shared" si="0"/>
        <v>2.0225141732611203E-2</v>
      </c>
      <c r="F35" s="2">
        <f t="shared" si="1"/>
        <v>3.0228217800000002E-2</v>
      </c>
      <c r="G35" s="2">
        <f t="shared" si="2"/>
        <v>2.8143226486531198E-2</v>
      </c>
      <c r="H35">
        <f t="shared" si="3"/>
        <v>107.77523440941277</v>
      </c>
      <c r="I35">
        <f t="shared" si="4"/>
        <v>106.674896042</v>
      </c>
      <c r="J35">
        <f t="shared" si="5"/>
        <v>106.90424508648157</v>
      </c>
    </row>
    <row r="36" spans="4:10">
      <c r="D36">
        <v>0.34</v>
      </c>
      <c r="E36" s="2">
        <f t="shared" si="0"/>
        <v>2.0838110415884802E-2</v>
      </c>
      <c r="F36" s="2">
        <f t="shared" si="1"/>
        <v>3.1144231200000001E-2</v>
      </c>
      <c r="G36" s="2">
        <f t="shared" si="2"/>
        <v>2.89960773355648E-2</v>
      </c>
      <c r="H36">
        <f t="shared" si="3"/>
        <v>107.70780785425268</v>
      </c>
      <c r="I36">
        <f t="shared" si="4"/>
        <v>106.57413456800001</v>
      </c>
      <c r="J36">
        <f t="shared" si="5"/>
        <v>106.81043149308788</v>
      </c>
    </row>
    <row r="37" spans="4:10">
      <c r="D37">
        <v>0.35</v>
      </c>
      <c r="E37" s="2">
        <f t="shared" si="0"/>
        <v>2.1451084134479999E-2</v>
      </c>
      <c r="F37" s="2">
        <f t="shared" si="1"/>
        <v>3.2060245000000001E-2</v>
      </c>
      <c r="G37" s="2">
        <f t="shared" si="2"/>
        <v>2.9848929702479998E-2</v>
      </c>
      <c r="H37">
        <f t="shared" si="3"/>
        <v>107.6403807452072</v>
      </c>
      <c r="I37">
        <f t="shared" si="4"/>
        <v>106.47337305000001</v>
      </c>
      <c r="J37">
        <f t="shared" si="5"/>
        <v>106.7166177327272</v>
      </c>
    </row>
    <row r="38" spans="4:10">
      <c r="D38">
        <v>0.36</v>
      </c>
      <c r="E38" s="2">
        <f t="shared" si="0"/>
        <v>2.2064062888396799E-2</v>
      </c>
      <c r="F38" s="2">
        <f t="shared" si="1"/>
        <v>3.2976259199999997E-2</v>
      </c>
      <c r="G38" s="2">
        <f t="shared" si="2"/>
        <v>3.0701783587276796E-2</v>
      </c>
      <c r="H38">
        <f t="shared" si="3"/>
        <v>107.57295308227636</v>
      </c>
      <c r="I38">
        <f t="shared" si="4"/>
        <v>106.372611488</v>
      </c>
      <c r="J38">
        <f t="shared" si="5"/>
        <v>106.62280380539956</v>
      </c>
    </row>
    <row r="39" spans="4:10">
      <c r="D39">
        <v>0.37</v>
      </c>
      <c r="E39" s="2">
        <f t="shared" si="0"/>
        <v>2.2677046677635197E-2</v>
      </c>
      <c r="F39" s="2">
        <f t="shared" si="1"/>
        <v>3.3892273799999997E-2</v>
      </c>
      <c r="G39" s="2">
        <f t="shared" si="2"/>
        <v>3.1554638989955204E-2</v>
      </c>
      <c r="H39">
        <f t="shared" si="3"/>
        <v>107.50552486546013</v>
      </c>
      <c r="I39">
        <f t="shared" si="4"/>
        <v>106.271849882</v>
      </c>
      <c r="J39">
        <f t="shared" si="5"/>
        <v>106.52898971110493</v>
      </c>
    </row>
    <row r="40" spans="4:10">
      <c r="D40">
        <v>0.38</v>
      </c>
      <c r="E40" s="2">
        <f t="shared" si="0"/>
        <v>2.3290035502195203E-2</v>
      </c>
      <c r="F40" s="2">
        <f t="shared" si="1"/>
        <v>3.4808288799999997E-2</v>
      </c>
      <c r="G40" s="2">
        <f t="shared" si="2"/>
        <v>3.2407495910515192E-2</v>
      </c>
      <c r="H40">
        <f t="shared" si="3"/>
        <v>107.43809609475852</v>
      </c>
      <c r="I40">
        <f t="shared" si="4"/>
        <v>106.171088232</v>
      </c>
      <c r="J40">
        <f t="shared" si="5"/>
        <v>106.43517544984333</v>
      </c>
    </row>
    <row r="41" spans="4:10">
      <c r="D41">
        <v>0.39</v>
      </c>
      <c r="E41" s="2">
        <f t="shared" si="0"/>
        <v>2.3903029362076802E-2</v>
      </c>
      <c r="F41" s="2">
        <f t="shared" si="1"/>
        <v>3.5724304200000001E-2</v>
      </c>
      <c r="G41" s="2">
        <f t="shared" si="2"/>
        <v>3.3260354348956793E-2</v>
      </c>
      <c r="H41">
        <f t="shared" si="3"/>
        <v>107.37066677017155</v>
      </c>
      <c r="I41">
        <f t="shared" si="4"/>
        <v>106.070326538</v>
      </c>
      <c r="J41">
        <f t="shared" si="5"/>
        <v>106.34136102161476</v>
      </c>
    </row>
    <row r="42" spans="4:10">
      <c r="D42">
        <v>0.4</v>
      </c>
      <c r="E42" s="2">
        <f t="shared" si="0"/>
        <v>2.4516028257280002E-2</v>
      </c>
      <c r="F42" s="2">
        <f t="shared" si="1"/>
        <v>3.6640319999999997E-2</v>
      </c>
      <c r="G42" s="2">
        <f t="shared" si="2"/>
        <v>3.4113214305279999E-2</v>
      </c>
      <c r="H42">
        <f t="shared" si="3"/>
        <v>107.3032368916992</v>
      </c>
      <c r="I42">
        <f t="shared" si="4"/>
        <v>105.9695648</v>
      </c>
      <c r="J42">
        <f t="shared" si="5"/>
        <v>106.24754642641921</v>
      </c>
    </row>
    <row r="43" spans="4:10">
      <c r="D43">
        <v>0.41</v>
      </c>
      <c r="E43" s="2">
        <f t="shared" si="0"/>
        <v>2.5129032187804799E-2</v>
      </c>
      <c r="F43" s="2">
        <f t="shared" si="1"/>
        <v>3.7556336199999998E-2</v>
      </c>
      <c r="G43" s="2">
        <f t="shared" si="2"/>
        <v>3.4966075779484795E-2</v>
      </c>
      <c r="H43">
        <f t="shared" si="3"/>
        <v>107.23580645934148</v>
      </c>
      <c r="I43">
        <f t="shared" si="4"/>
        <v>105.86880301799999</v>
      </c>
      <c r="J43">
        <f t="shared" si="5"/>
        <v>106.15373166425667</v>
      </c>
    </row>
    <row r="44" spans="4:10">
      <c r="D44">
        <v>0.42</v>
      </c>
      <c r="E44" s="2">
        <f t="shared" si="0"/>
        <v>2.57420411536512E-2</v>
      </c>
      <c r="F44" s="2">
        <f t="shared" si="1"/>
        <v>3.8472352799999998E-2</v>
      </c>
      <c r="G44" s="2">
        <f t="shared" si="2"/>
        <v>3.5818938771571197E-2</v>
      </c>
      <c r="H44">
        <f t="shared" si="3"/>
        <v>107.16837547309837</v>
      </c>
      <c r="I44">
        <f t="shared" si="4"/>
        <v>105.768041192</v>
      </c>
      <c r="J44">
        <f t="shared" si="5"/>
        <v>106.05991673512717</v>
      </c>
    </row>
    <row r="45" spans="4:10">
      <c r="D45">
        <v>0.43</v>
      </c>
      <c r="E45" s="2">
        <f t="shared" si="0"/>
        <v>2.6355055154819198E-2</v>
      </c>
      <c r="F45" s="2">
        <f t="shared" si="1"/>
        <v>3.9388369799999996E-2</v>
      </c>
      <c r="G45" s="2">
        <f t="shared" si="2"/>
        <v>3.6671803281539198E-2</v>
      </c>
      <c r="H45">
        <f t="shared" si="3"/>
        <v>107.10094393296988</v>
      </c>
      <c r="I45">
        <f t="shared" si="4"/>
        <v>105.667279322</v>
      </c>
      <c r="J45">
        <f t="shared" si="5"/>
        <v>105.96610163903068</v>
      </c>
    </row>
    <row r="46" spans="4:10">
      <c r="D46">
        <v>0.44</v>
      </c>
      <c r="E46" s="2">
        <f t="shared" si="0"/>
        <v>2.69680741913088E-2</v>
      </c>
      <c r="F46" s="2">
        <f t="shared" si="1"/>
        <v>4.03043872E-2</v>
      </c>
      <c r="G46" s="2">
        <f t="shared" si="2"/>
        <v>3.7524669309388803E-2</v>
      </c>
      <c r="H46">
        <f t="shared" si="3"/>
        <v>107.03351183895603</v>
      </c>
      <c r="I46">
        <f t="shared" si="4"/>
        <v>105.566517408</v>
      </c>
      <c r="J46">
        <f t="shared" si="5"/>
        <v>105.87228637596724</v>
      </c>
    </row>
    <row r="47" spans="4:10">
      <c r="D47">
        <v>0.45</v>
      </c>
      <c r="E47" s="2">
        <f t="shared" si="0"/>
        <v>2.758109826312E-2</v>
      </c>
      <c r="F47" s="2">
        <f t="shared" si="1"/>
        <v>4.1220405000000002E-2</v>
      </c>
      <c r="G47" s="2">
        <f t="shared" si="2"/>
        <v>3.8377536855119999E-2</v>
      </c>
      <c r="H47">
        <f t="shared" si="3"/>
        <v>106.96607919105681</v>
      </c>
      <c r="I47">
        <f t="shared" si="4"/>
        <v>105.46575545</v>
      </c>
      <c r="J47">
        <f t="shared" si="5"/>
        <v>105.7784709459368</v>
      </c>
    </row>
    <row r="48" spans="4:10">
      <c r="D48">
        <v>0.46</v>
      </c>
      <c r="E48" s="2">
        <f t="shared" si="0"/>
        <v>2.8194127370252803E-2</v>
      </c>
      <c r="F48" s="2">
        <f t="shared" si="1"/>
        <v>4.2136423200000002E-2</v>
      </c>
      <c r="G48" s="2">
        <f t="shared" si="2"/>
        <v>3.9230405918732801E-2</v>
      </c>
      <c r="H48">
        <f t="shared" si="3"/>
        <v>106.8986459892722</v>
      </c>
      <c r="I48">
        <f t="shared" si="4"/>
        <v>105.36499344800001</v>
      </c>
      <c r="J48">
        <f t="shared" si="5"/>
        <v>105.68465534893939</v>
      </c>
    </row>
    <row r="49" spans="4:10">
      <c r="D49">
        <v>0.47</v>
      </c>
      <c r="E49" s="2">
        <f t="shared" si="0"/>
        <v>2.8807161512707201E-2</v>
      </c>
      <c r="F49" s="2">
        <f t="shared" si="1"/>
        <v>4.3052441800000001E-2</v>
      </c>
      <c r="G49" s="2">
        <f t="shared" si="2"/>
        <v>4.0083276500227194E-2</v>
      </c>
      <c r="H49">
        <f t="shared" si="3"/>
        <v>106.8312122336022</v>
      </c>
      <c r="I49">
        <f t="shared" si="4"/>
        <v>105.26423140200001</v>
      </c>
      <c r="J49">
        <f t="shared" si="5"/>
        <v>105.59083958497501</v>
      </c>
    </row>
    <row r="50" spans="4:10">
      <c r="D50">
        <v>0.48</v>
      </c>
      <c r="E50" s="2">
        <f t="shared" si="0"/>
        <v>2.9420200690483199E-2</v>
      </c>
      <c r="F50" s="2">
        <f t="shared" si="1"/>
        <v>4.3968460799999998E-2</v>
      </c>
      <c r="G50" s="2">
        <f t="shared" si="2"/>
        <v>4.0936148599603199E-2</v>
      </c>
      <c r="H50">
        <f t="shared" si="3"/>
        <v>106.76377792404685</v>
      </c>
      <c r="I50">
        <f t="shared" si="4"/>
        <v>105.163469312</v>
      </c>
      <c r="J50">
        <f t="shared" si="5"/>
        <v>105.49702365404364</v>
      </c>
    </row>
    <row r="51" spans="4:10">
      <c r="D51">
        <v>0.49</v>
      </c>
      <c r="E51" s="2">
        <f t="shared" si="0"/>
        <v>3.0033244903580801E-2</v>
      </c>
      <c r="F51" s="2">
        <f t="shared" si="1"/>
        <v>4.48844802E-2</v>
      </c>
      <c r="G51" s="2">
        <f t="shared" si="2"/>
        <v>4.1789022216860795E-2</v>
      </c>
      <c r="H51">
        <f t="shared" si="3"/>
        <v>106.69634306060611</v>
      </c>
      <c r="I51">
        <f t="shared" si="4"/>
        <v>105.062707178</v>
      </c>
      <c r="J51">
        <f t="shared" si="5"/>
        <v>105.40320755614532</v>
      </c>
    </row>
    <row r="52" spans="4:10">
      <c r="D52">
        <v>0.5</v>
      </c>
      <c r="E52" s="2">
        <f t="shared" si="0"/>
        <v>3.0646294152E-2</v>
      </c>
      <c r="F52" s="2">
        <f t="shared" si="1"/>
        <v>4.5800500000000001E-2</v>
      </c>
      <c r="G52" s="2">
        <f t="shared" si="2"/>
        <v>4.2641897351999997E-2</v>
      </c>
      <c r="H52">
        <f t="shared" si="3"/>
        <v>106.62890764328</v>
      </c>
      <c r="I52">
        <f t="shared" si="4"/>
        <v>104.961945</v>
      </c>
      <c r="J52">
        <f t="shared" si="5"/>
        <v>105.30939129128001</v>
      </c>
    </row>
    <row r="53" spans="4:10">
      <c r="D53">
        <v>0.51</v>
      </c>
      <c r="E53" s="2">
        <f t="shared" si="0"/>
        <v>3.1259348435740804E-2</v>
      </c>
      <c r="F53" s="2">
        <f t="shared" si="1"/>
        <v>4.67165202E-2</v>
      </c>
      <c r="G53" s="2">
        <f t="shared" si="2"/>
        <v>4.3494774005020796E-2</v>
      </c>
      <c r="H53">
        <f t="shared" si="3"/>
        <v>106.56147167206851</v>
      </c>
      <c r="I53">
        <f t="shared" si="4"/>
        <v>104.861182778</v>
      </c>
      <c r="J53">
        <f t="shared" si="5"/>
        <v>105.21557485944771</v>
      </c>
    </row>
    <row r="54" spans="4:10">
      <c r="D54">
        <v>0.52</v>
      </c>
      <c r="E54" s="2">
        <f t="shared" si="0"/>
        <v>3.1872407754803198E-2</v>
      </c>
      <c r="F54" s="2">
        <f t="shared" si="1"/>
        <v>4.7632540799999998E-2</v>
      </c>
      <c r="G54" s="2">
        <f t="shared" si="2"/>
        <v>4.4347652175923201E-2</v>
      </c>
      <c r="H54">
        <f t="shared" si="3"/>
        <v>106.49403514697165</v>
      </c>
      <c r="I54">
        <f t="shared" si="4"/>
        <v>104.760420512</v>
      </c>
      <c r="J54">
        <f t="shared" si="5"/>
        <v>105.12175826064845</v>
      </c>
    </row>
    <row r="55" spans="4:10">
      <c r="D55">
        <v>0.53</v>
      </c>
      <c r="E55" s="2">
        <f t="shared" si="0"/>
        <v>3.2485472109187202E-2</v>
      </c>
      <c r="F55" s="2">
        <f t="shared" si="1"/>
        <v>4.8548561800000001E-2</v>
      </c>
      <c r="G55" s="2">
        <f t="shared" si="2"/>
        <v>4.5200531864707197E-2</v>
      </c>
      <c r="H55">
        <f t="shared" si="3"/>
        <v>106.4265980679894</v>
      </c>
      <c r="I55">
        <f t="shared" si="4"/>
        <v>104.659658202</v>
      </c>
      <c r="J55">
        <f t="shared" si="5"/>
        <v>105.02794149488221</v>
      </c>
    </row>
    <row r="56" spans="4:10">
      <c r="D56">
        <v>0.54</v>
      </c>
      <c r="E56" s="2">
        <f t="shared" si="0"/>
        <v>3.3098541498892804E-2</v>
      </c>
      <c r="F56" s="2">
        <f t="shared" si="1"/>
        <v>4.9464583200000002E-2</v>
      </c>
      <c r="G56" s="2">
        <f t="shared" si="2"/>
        <v>4.6053413071372798E-2</v>
      </c>
      <c r="H56">
        <f t="shared" si="3"/>
        <v>106.35916043512179</v>
      </c>
      <c r="I56">
        <f t="shared" si="4"/>
        <v>104.55889584800001</v>
      </c>
      <c r="J56">
        <f t="shared" si="5"/>
        <v>104.93412456214899</v>
      </c>
    </row>
    <row r="57" spans="4:10">
      <c r="D57">
        <v>0.55000000000000004</v>
      </c>
      <c r="E57" s="2">
        <f t="shared" si="0"/>
        <v>3.3711615923920003E-2</v>
      </c>
      <c r="F57" s="2">
        <f t="shared" si="1"/>
        <v>5.0380605000000002E-2</v>
      </c>
      <c r="G57" s="2">
        <f t="shared" si="2"/>
        <v>4.6906295795920004E-2</v>
      </c>
      <c r="H57">
        <f t="shared" si="3"/>
        <v>106.2917222483688</v>
      </c>
      <c r="I57">
        <f t="shared" si="4"/>
        <v>104.45813345000001</v>
      </c>
      <c r="J57">
        <f t="shared" si="5"/>
        <v>104.84030746244881</v>
      </c>
    </row>
    <row r="58" spans="4:10">
      <c r="D58">
        <v>0.56000000000000005</v>
      </c>
      <c r="E58" s="2">
        <f t="shared" si="0"/>
        <v>3.43246953842688E-2</v>
      </c>
      <c r="F58" s="2">
        <f t="shared" si="1"/>
        <v>5.1296627200000007E-2</v>
      </c>
      <c r="G58" s="2">
        <f t="shared" si="2"/>
        <v>4.7759180038348802E-2</v>
      </c>
      <c r="H58">
        <f t="shared" si="3"/>
        <v>106.22428350773043</v>
      </c>
      <c r="I58">
        <f t="shared" si="4"/>
        <v>104.357371008</v>
      </c>
      <c r="J58">
        <f t="shared" si="5"/>
        <v>104.74649019578163</v>
      </c>
    </row>
    <row r="59" spans="4:10">
      <c r="D59">
        <v>0.56999999999999995</v>
      </c>
      <c r="E59" s="2">
        <f t="shared" si="0"/>
        <v>3.49377798799392E-2</v>
      </c>
      <c r="F59" s="2">
        <f t="shared" si="1"/>
        <v>5.2212649799999997E-2</v>
      </c>
      <c r="G59" s="2">
        <f t="shared" si="2"/>
        <v>4.8612065798659197E-2</v>
      </c>
      <c r="H59">
        <f t="shared" si="3"/>
        <v>106.15684421320668</v>
      </c>
      <c r="I59">
        <f t="shared" si="4"/>
        <v>104.25660852199999</v>
      </c>
      <c r="J59">
        <f t="shared" si="5"/>
        <v>104.65267276214749</v>
      </c>
    </row>
    <row r="60" spans="4:10">
      <c r="D60">
        <v>0.57999999999999996</v>
      </c>
      <c r="E60" s="2">
        <f t="shared" si="0"/>
        <v>3.5550869410931198E-2</v>
      </c>
      <c r="F60" s="2">
        <f t="shared" si="1"/>
        <v>5.3128672799999992E-2</v>
      </c>
      <c r="G60" s="2">
        <f t="shared" si="2"/>
        <v>4.9464953076851198E-2</v>
      </c>
      <c r="H60">
        <f t="shared" si="3"/>
        <v>106.08940436479757</v>
      </c>
      <c r="I60">
        <f t="shared" si="4"/>
        <v>104.155845992</v>
      </c>
      <c r="J60">
        <f t="shared" si="5"/>
        <v>104.55885516154638</v>
      </c>
    </row>
    <row r="61" spans="4:10">
      <c r="D61">
        <v>0.59</v>
      </c>
      <c r="E61" s="2">
        <f t="shared" si="0"/>
        <v>3.6163963977244799E-2</v>
      </c>
      <c r="F61" s="2">
        <f t="shared" si="1"/>
        <v>5.4044696199999992E-2</v>
      </c>
      <c r="G61" s="2">
        <f t="shared" si="2"/>
        <v>5.0317841872924797E-2</v>
      </c>
      <c r="H61">
        <f t="shared" si="3"/>
        <v>106.02196396250307</v>
      </c>
      <c r="I61">
        <f t="shared" si="4"/>
        <v>104.055083418</v>
      </c>
      <c r="J61">
        <f t="shared" si="5"/>
        <v>104.46503739397828</v>
      </c>
    </row>
    <row r="62" spans="4:10">
      <c r="D62">
        <v>0.6</v>
      </c>
      <c r="E62" s="2">
        <f t="shared" si="0"/>
        <v>3.6777063578880005E-2</v>
      </c>
      <c r="F62" s="2">
        <f t="shared" si="1"/>
        <v>5.4960720000000005E-2</v>
      </c>
      <c r="G62" s="2">
        <f t="shared" si="2"/>
        <v>5.1170732186880001E-2</v>
      </c>
      <c r="H62">
        <f t="shared" si="3"/>
        <v>105.9545230063232</v>
      </c>
      <c r="I62">
        <f t="shared" si="4"/>
        <v>103.9543208</v>
      </c>
      <c r="J62">
        <f t="shared" si="5"/>
        <v>104.3712194594432</v>
      </c>
    </row>
    <row r="63" spans="4:10">
      <c r="D63">
        <v>0.61</v>
      </c>
      <c r="E63" s="2">
        <f t="shared" si="0"/>
        <v>3.7390168215836801E-2</v>
      </c>
      <c r="F63" s="2">
        <f t="shared" si="1"/>
        <v>5.5876744200000002E-2</v>
      </c>
      <c r="G63" s="2">
        <f t="shared" si="2"/>
        <v>5.2023624018716796E-2</v>
      </c>
      <c r="H63">
        <f t="shared" si="3"/>
        <v>105.88708149625795</v>
      </c>
      <c r="I63">
        <f t="shared" si="4"/>
        <v>103.853558138</v>
      </c>
      <c r="J63">
        <f t="shared" si="5"/>
        <v>104.27740135794116</v>
      </c>
    </row>
    <row r="64" spans="4:10">
      <c r="D64">
        <v>0.62</v>
      </c>
      <c r="E64" s="2">
        <f t="shared" si="0"/>
        <v>3.8003277888115201E-2</v>
      </c>
      <c r="F64" s="2">
        <f t="shared" si="1"/>
        <v>5.6792768800000004E-2</v>
      </c>
      <c r="G64" s="2">
        <f t="shared" si="2"/>
        <v>5.2876517368435197E-2</v>
      </c>
      <c r="H64">
        <f t="shared" si="3"/>
        <v>105.81963943230733</v>
      </c>
      <c r="I64">
        <f t="shared" si="4"/>
        <v>103.752795432</v>
      </c>
      <c r="J64">
        <f t="shared" si="5"/>
        <v>104.18358308947212</v>
      </c>
    </row>
    <row r="65" spans="4:10">
      <c r="D65">
        <v>0.63</v>
      </c>
      <c r="E65" s="2">
        <f t="shared" si="0"/>
        <v>3.8616392595715199E-2</v>
      </c>
      <c r="F65" s="2">
        <f t="shared" si="1"/>
        <v>5.7708793800000005E-2</v>
      </c>
      <c r="G65" s="2">
        <f t="shared" si="2"/>
        <v>5.3729412236035196E-2</v>
      </c>
      <c r="H65">
        <f t="shared" si="3"/>
        <v>105.75219681447133</v>
      </c>
      <c r="I65">
        <f t="shared" si="4"/>
        <v>103.652032682</v>
      </c>
      <c r="J65">
        <f t="shared" si="5"/>
        <v>104.08976465403613</v>
      </c>
    </row>
    <row r="66" spans="4:10">
      <c r="D66">
        <v>0.64</v>
      </c>
      <c r="E66" s="2">
        <f t="shared" si="0"/>
        <v>3.92295123386368E-2</v>
      </c>
      <c r="F66" s="2">
        <f t="shared" si="1"/>
        <v>5.8624819200000004E-2</v>
      </c>
      <c r="G66" s="2">
        <f t="shared" si="2"/>
        <v>5.4582308621516792E-2</v>
      </c>
      <c r="H66">
        <f t="shared" si="3"/>
        <v>105.68475364274995</v>
      </c>
      <c r="I66">
        <f t="shared" si="4"/>
        <v>103.55126988799999</v>
      </c>
      <c r="J66">
        <f t="shared" si="5"/>
        <v>103.99594605163315</v>
      </c>
    </row>
    <row r="67" spans="4:10">
      <c r="D67">
        <v>0.65</v>
      </c>
      <c r="E67" s="2">
        <f t="shared" ref="E67:E101" si="6">D67*$B$7+D67^2*$B$8^2/200</f>
        <v>3.9842637116879999E-2</v>
      </c>
      <c r="F67" s="2">
        <f t="shared" ref="F67:F102" si="7">D67*$B$12+D67^2*$B$13^2/200</f>
        <v>5.9540845000000002E-2</v>
      </c>
      <c r="G67" s="2">
        <f t="shared" ref="G67:G101" si="8">D67*$B$17+D67^2*$B$18^2/200</f>
        <v>5.5435206524879994E-2</v>
      </c>
      <c r="H67">
        <f t="shared" ref="H67:H102" si="9">$B$20-E67*$B$20</f>
        <v>105.6173099171432</v>
      </c>
      <c r="I67">
        <f t="shared" ref="I67:I102" si="10">$B$20-F67*$B$20</f>
        <v>103.45050705</v>
      </c>
      <c r="J67">
        <f t="shared" ref="J67:J102" si="11">$B$20-G67*$B$20</f>
        <v>103.90212728226319</v>
      </c>
    </row>
    <row r="68" spans="4:10">
      <c r="D68">
        <v>0.66</v>
      </c>
      <c r="E68" s="2">
        <f t="shared" si="6"/>
        <v>4.0455766930444802E-2</v>
      </c>
      <c r="F68" s="2">
        <f t="shared" si="7"/>
        <v>6.0456871200000005E-2</v>
      </c>
      <c r="G68" s="2">
        <f t="shared" si="8"/>
        <v>5.6288105946124795E-2</v>
      </c>
      <c r="H68">
        <f t="shared" si="9"/>
        <v>105.54986563765107</v>
      </c>
      <c r="I68">
        <f t="shared" si="10"/>
        <v>103.349744168</v>
      </c>
      <c r="J68">
        <f t="shared" si="11"/>
        <v>103.80830834592628</v>
      </c>
    </row>
    <row r="69" spans="4:10">
      <c r="D69">
        <v>0.67</v>
      </c>
      <c r="E69" s="2">
        <f t="shared" si="6"/>
        <v>4.1068901779331209E-2</v>
      </c>
      <c r="F69" s="2">
        <f t="shared" si="7"/>
        <v>6.1372897800000006E-2</v>
      </c>
      <c r="G69" s="2">
        <f t="shared" si="8"/>
        <v>5.71410068852512E-2</v>
      </c>
      <c r="H69">
        <f t="shared" si="9"/>
        <v>105.48242080427357</v>
      </c>
      <c r="I69">
        <f t="shared" si="10"/>
        <v>103.248981242</v>
      </c>
      <c r="J69">
        <f t="shared" si="11"/>
        <v>103.71448924262236</v>
      </c>
    </row>
    <row r="70" spans="4:10">
      <c r="D70">
        <v>0.68</v>
      </c>
      <c r="E70" s="2">
        <f t="shared" si="6"/>
        <v>4.1682041663539206E-2</v>
      </c>
      <c r="F70" s="2">
        <f t="shared" si="7"/>
        <v>6.2288924800000006E-2</v>
      </c>
      <c r="G70" s="2">
        <f t="shared" si="8"/>
        <v>5.7993909342259196E-2</v>
      </c>
      <c r="H70">
        <f t="shared" si="9"/>
        <v>105.41497541701068</v>
      </c>
      <c r="I70">
        <f t="shared" si="10"/>
        <v>103.14821827199999</v>
      </c>
      <c r="J70">
        <f t="shared" si="11"/>
        <v>103.62066997235149</v>
      </c>
    </row>
    <row r="71" spans="4:10">
      <c r="D71">
        <v>0.69</v>
      </c>
      <c r="E71" s="2">
        <f t="shared" si="6"/>
        <v>4.22951865830688E-2</v>
      </c>
      <c r="F71" s="2">
        <f t="shared" si="7"/>
        <v>6.3204952199999997E-2</v>
      </c>
      <c r="G71" s="2">
        <f t="shared" si="8"/>
        <v>5.8846813317148791E-2</v>
      </c>
      <c r="H71">
        <f t="shared" si="9"/>
        <v>105.34752947586243</v>
      </c>
      <c r="I71">
        <f t="shared" si="10"/>
        <v>103.047455258</v>
      </c>
      <c r="J71">
        <f t="shared" si="11"/>
        <v>103.52685053511364</v>
      </c>
    </row>
    <row r="72" spans="4:10">
      <c r="D72">
        <v>0.7</v>
      </c>
      <c r="E72" s="2">
        <f t="shared" si="6"/>
        <v>4.2908336537919999E-2</v>
      </c>
      <c r="F72" s="2">
        <f t="shared" si="7"/>
        <v>6.4120979999999994E-2</v>
      </c>
      <c r="G72" s="2">
        <f t="shared" si="8"/>
        <v>5.9699718809919991E-2</v>
      </c>
      <c r="H72">
        <f t="shared" si="9"/>
        <v>105.28008298082879</v>
      </c>
      <c r="I72">
        <f t="shared" si="10"/>
        <v>102.9466922</v>
      </c>
      <c r="J72">
        <f t="shared" si="11"/>
        <v>103.4330309309088</v>
      </c>
    </row>
    <row r="73" spans="4:10">
      <c r="D73">
        <v>0.71</v>
      </c>
      <c r="E73" s="2">
        <f t="shared" si="6"/>
        <v>4.3521491528092801E-2</v>
      </c>
      <c r="F73" s="2">
        <f t="shared" si="7"/>
        <v>6.5037008199999996E-2</v>
      </c>
      <c r="G73" s="2">
        <f t="shared" si="8"/>
        <v>6.0552625820572796E-2</v>
      </c>
      <c r="H73">
        <f t="shared" si="9"/>
        <v>105.21263593190979</v>
      </c>
      <c r="I73">
        <f t="shared" si="10"/>
        <v>102.845929098</v>
      </c>
      <c r="J73">
        <f t="shared" si="11"/>
        <v>103.33921115973699</v>
      </c>
    </row>
    <row r="74" spans="4:10">
      <c r="D74">
        <v>0.72</v>
      </c>
      <c r="E74" s="2">
        <f t="shared" si="6"/>
        <v>4.4134651553587194E-2</v>
      </c>
      <c r="F74" s="2">
        <f t="shared" si="7"/>
        <v>6.5953036800000003E-2</v>
      </c>
      <c r="G74" s="2">
        <f t="shared" si="8"/>
        <v>6.1405534349107192E-2</v>
      </c>
      <c r="H74">
        <f t="shared" si="9"/>
        <v>105.14518832910541</v>
      </c>
      <c r="I74">
        <f t="shared" si="10"/>
        <v>102.74516595199999</v>
      </c>
      <c r="J74">
        <f t="shared" si="11"/>
        <v>103.24539122159821</v>
      </c>
    </row>
    <row r="75" spans="4:10">
      <c r="D75">
        <v>0.73</v>
      </c>
      <c r="E75" s="2">
        <f t="shared" si="6"/>
        <v>4.4747816614403198E-2</v>
      </c>
      <c r="F75" s="2">
        <f t="shared" si="7"/>
        <v>6.6869065800000002E-2</v>
      </c>
      <c r="G75" s="2">
        <f t="shared" si="8"/>
        <v>6.2258444395523194E-2</v>
      </c>
      <c r="H75">
        <f t="shared" si="9"/>
        <v>105.07774017241564</v>
      </c>
      <c r="I75">
        <f t="shared" si="10"/>
        <v>102.644402762</v>
      </c>
      <c r="J75">
        <f t="shared" si="11"/>
        <v>103.15157111649245</v>
      </c>
    </row>
    <row r="76" spans="4:10">
      <c r="D76">
        <v>0.74</v>
      </c>
      <c r="E76" s="2">
        <f t="shared" si="6"/>
        <v>4.5360986710540799E-2</v>
      </c>
      <c r="F76" s="2">
        <f t="shared" si="7"/>
        <v>6.7785095199999992E-2</v>
      </c>
      <c r="G76" s="2">
        <f t="shared" si="8"/>
        <v>6.31113559598208E-2</v>
      </c>
      <c r="H76">
        <f t="shared" si="9"/>
        <v>105.01029146184051</v>
      </c>
      <c r="I76">
        <f t="shared" si="10"/>
        <v>102.543639528</v>
      </c>
      <c r="J76">
        <f t="shared" si="11"/>
        <v>103.05775084441972</v>
      </c>
    </row>
    <row r="77" spans="4:10">
      <c r="D77">
        <v>0.75</v>
      </c>
      <c r="E77" s="2">
        <f t="shared" si="6"/>
        <v>4.5974161842000004E-2</v>
      </c>
      <c r="F77" s="2">
        <f t="shared" si="7"/>
        <v>6.8701125000000002E-2</v>
      </c>
      <c r="G77" s="2">
        <f t="shared" si="8"/>
        <v>6.3964269041999991E-2</v>
      </c>
      <c r="H77">
        <f t="shared" si="9"/>
        <v>104.94284219738</v>
      </c>
      <c r="I77">
        <f t="shared" si="10"/>
        <v>102.44287625</v>
      </c>
      <c r="J77">
        <f t="shared" si="11"/>
        <v>102.96393040538</v>
      </c>
    </row>
    <row r="78" spans="4:10">
      <c r="D78">
        <v>0.76</v>
      </c>
      <c r="E78" s="2">
        <f t="shared" si="6"/>
        <v>4.6587342008780806E-2</v>
      </c>
      <c r="F78" s="2">
        <f t="shared" si="7"/>
        <v>6.9617155200000003E-2</v>
      </c>
      <c r="G78" s="2">
        <f t="shared" si="8"/>
        <v>6.4817183642060794E-2</v>
      </c>
      <c r="H78">
        <f t="shared" si="9"/>
        <v>104.87539237903411</v>
      </c>
      <c r="I78">
        <f t="shared" si="10"/>
        <v>102.34211292800001</v>
      </c>
      <c r="J78">
        <f t="shared" si="11"/>
        <v>102.87010979937331</v>
      </c>
    </row>
    <row r="79" spans="4:10">
      <c r="D79">
        <v>0.77</v>
      </c>
      <c r="E79" s="2">
        <f t="shared" si="6"/>
        <v>4.7200527210883199E-2</v>
      </c>
      <c r="F79" s="2">
        <f t="shared" si="7"/>
        <v>7.0533185799999995E-2</v>
      </c>
      <c r="G79" s="2">
        <f t="shared" si="8"/>
        <v>6.5670099760003195E-2</v>
      </c>
      <c r="H79">
        <f t="shared" si="9"/>
        <v>104.80794200680285</v>
      </c>
      <c r="I79">
        <f t="shared" si="10"/>
        <v>102.241349562</v>
      </c>
      <c r="J79">
        <f t="shared" si="11"/>
        <v>102.77628902639965</v>
      </c>
    </row>
    <row r="80" spans="4:10">
      <c r="D80">
        <v>0.78</v>
      </c>
      <c r="E80" s="2">
        <f t="shared" si="6"/>
        <v>4.7813717448307202E-2</v>
      </c>
      <c r="F80" s="2">
        <f t="shared" si="7"/>
        <v>7.1449216799999993E-2</v>
      </c>
      <c r="G80" s="2">
        <f t="shared" si="8"/>
        <v>6.6523017395827194E-2</v>
      </c>
      <c r="H80">
        <f t="shared" si="9"/>
        <v>104.74049108068621</v>
      </c>
      <c r="I80">
        <f t="shared" si="10"/>
        <v>102.140586152</v>
      </c>
      <c r="J80">
        <f t="shared" si="11"/>
        <v>102.68246808645901</v>
      </c>
    </row>
    <row r="81" spans="4:10">
      <c r="D81">
        <v>0.79</v>
      </c>
      <c r="E81" s="2">
        <f t="shared" si="6"/>
        <v>4.8426912721052803E-2</v>
      </c>
      <c r="F81" s="2">
        <f t="shared" si="7"/>
        <v>7.2365248199999996E-2</v>
      </c>
      <c r="G81" s="2">
        <f t="shared" si="8"/>
        <v>6.7375936549532792E-2</v>
      </c>
      <c r="H81">
        <f t="shared" si="9"/>
        <v>104.67303960068419</v>
      </c>
      <c r="I81">
        <f t="shared" si="10"/>
        <v>102.03982269799999</v>
      </c>
      <c r="J81">
        <f t="shared" si="11"/>
        <v>102.5886469795514</v>
      </c>
    </row>
    <row r="82" spans="4:10">
      <c r="D82">
        <v>0.8</v>
      </c>
      <c r="E82" s="2">
        <f t="shared" si="6"/>
        <v>4.9040113029120008E-2</v>
      </c>
      <c r="F82" s="2">
        <f t="shared" si="7"/>
        <v>7.3281280000000004E-2</v>
      </c>
      <c r="G82" s="2">
        <f t="shared" si="8"/>
        <v>6.8228857221119987E-2</v>
      </c>
      <c r="H82">
        <f t="shared" si="9"/>
        <v>104.6055875667968</v>
      </c>
      <c r="I82">
        <f t="shared" si="10"/>
        <v>101.9390592</v>
      </c>
      <c r="J82">
        <f t="shared" si="11"/>
        <v>102.4948257056768</v>
      </c>
    </row>
    <row r="83" spans="4:10">
      <c r="D83">
        <v>0.81</v>
      </c>
      <c r="E83" s="2">
        <f t="shared" si="6"/>
        <v>4.9653318372508803E-2</v>
      </c>
      <c r="F83" s="2">
        <f t="shared" si="7"/>
        <v>7.4197312200000018E-2</v>
      </c>
      <c r="G83" s="2">
        <f t="shared" si="8"/>
        <v>6.9081779410588795E-2</v>
      </c>
      <c r="H83">
        <f t="shared" si="9"/>
        <v>104.53813497902404</v>
      </c>
      <c r="I83">
        <f t="shared" si="10"/>
        <v>101.83829565799999</v>
      </c>
      <c r="J83">
        <f t="shared" si="11"/>
        <v>102.40100426483524</v>
      </c>
    </row>
    <row r="84" spans="4:10">
      <c r="D84">
        <v>0.82</v>
      </c>
      <c r="E84" s="2">
        <f t="shared" si="6"/>
        <v>5.0266528751219196E-2</v>
      </c>
      <c r="F84" s="2">
        <f t="shared" si="7"/>
        <v>7.5113344799999995E-2</v>
      </c>
      <c r="G84" s="2">
        <f t="shared" si="8"/>
        <v>6.9934703117939201E-2</v>
      </c>
      <c r="H84">
        <f t="shared" si="9"/>
        <v>104.47068183736589</v>
      </c>
      <c r="I84">
        <f t="shared" si="10"/>
        <v>101.73753207199999</v>
      </c>
      <c r="J84">
        <f t="shared" si="11"/>
        <v>102.30718265702669</v>
      </c>
    </row>
    <row r="85" spans="4:10">
      <c r="D85">
        <v>0.83</v>
      </c>
      <c r="E85" s="2">
        <f t="shared" si="6"/>
        <v>5.0879744165251192E-2</v>
      </c>
      <c r="F85" s="2">
        <f t="shared" si="7"/>
        <v>7.6029377799999992E-2</v>
      </c>
      <c r="G85" s="2">
        <f t="shared" si="8"/>
        <v>7.0787628343171191E-2</v>
      </c>
      <c r="H85">
        <f t="shared" si="9"/>
        <v>104.40322814182237</v>
      </c>
      <c r="I85">
        <f t="shared" si="10"/>
        <v>101.636768442</v>
      </c>
      <c r="J85">
        <f t="shared" si="11"/>
        <v>102.21336088225117</v>
      </c>
    </row>
    <row r="86" spans="4:10">
      <c r="D86">
        <v>0.84</v>
      </c>
      <c r="E86" s="2">
        <f t="shared" si="6"/>
        <v>5.14929646146048E-2</v>
      </c>
      <c r="F86" s="2">
        <f t="shared" si="7"/>
        <v>7.6945411199999994E-2</v>
      </c>
      <c r="G86" s="2">
        <f t="shared" si="8"/>
        <v>7.1640555086284793E-2</v>
      </c>
      <c r="H86">
        <f t="shared" si="9"/>
        <v>104.33577389239348</v>
      </c>
      <c r="I86">
        <f t="shared" si="10"/>
        <v>101.536004768</v>
      </c>
      <c r="J86">
        <f t="shared" si="11"/>
        <v>102.11953894050868</v>
      </c>
    </row>
    <row r="87" spans="4:10">
      <c r="D87">
        <v>0.85</v>
      </c>
      <c r="E87" s="2">
        <f t="shared" si="6"/>
        <v>5.2106190099280005E-2</v>
      </c>
      <c r="F87" s="2">
        <f t="shared" si="7"/>
        <v>7.7861445000000001E-2</v>
      </c>
      <c r="G87" s="2">
        <f t="shared" si="8"/>
        <v>7.2493483347279994E-2</v>
      </c>
      <c r="H87">
        <f t="shared" si="9"/>
        <v>104.2683190890792</v>
      </c>
      <c r="I87">
        <f t="shared" si="10"/>
        <v>101.43524105</v>
      </c>
      <c r="J87">
        <f t="shared" si="11"/>
        <v>102.0257168317992</v>
      </c>
    </row>
    <row r="88" spans="4:10">
      <c r="D88">
        <v>0.86</v>
      </c>
      <c r="E88" s="2">
        <f t="shared" si="6"/>
        <v>5.2719420619276799E-2</v>
      </c>
      <c r="F88" s="2">
        <f t="shared" si="7"/>
        <v>7.87774792E-2</v>
      </c>
      <c r="G88" s="2">
        <f t="shared" si="8"/>
        <v>7.3346413126156793E-2</v>
      </c>
      <c r="H88">
        <f t="shared" si="9"/>
        <v>104.20086373187955</v>
      </c>
      <c r="I88">
        <f t="shared" si="10"/>
        <v>101.334477288</v>
      </c>
      <c r="J88">
        <f t="shared" si="11"/>
        <v>101.93189455612276</v>
      </c>
    </row>
    <row r="89" spans="4:10">
      <c r="D89">
        <v>0.87</v>
      </c>
      <c r="E89" s="2">
        <f t="shared" si="6"/>
        <v>5.3332656174595205E-2</v>
      </c>
      <c r="F89" s="2">
        <f t="shared" si="7"/>
        <v>7.9693513800000004E-2</v>
      </c>
      <c r="G89" s="2">
        <f t="shared" si="8"/>
        <v>7.4199344422915203E-2</v>
      </c>
      <c r="H89">
        <f t="shared" si="9"/>
        <v>104.13340782079453</v>
      </c>
      <c r="I89">
        <f t="shared" si="10"/>
        <v>101.233713482</v>
      </c>
      <c r="J89">
        <f t="shared" si="11"/>
        <v>101.83807211347933</v>
      </c>
    </row>
    <row r="90" spans="4:10">
      <c r="D90">
        <v>0.88</v>
      </c>
      <c r="E90" s="2">
        <f t="shared" si="6"/>
        <v>5.3945896765235202E-2</v>
      </c>
      <c r="F90" s="2">
        <f t="shared" si="7"/>
        <v>8.06095488E-2</v>
      </c>
      <c r="G90" s="2">
        <f t="shared" si="8"/>
        <v>7.5052277237555198E-2</v>
      </c>
      <c r="H90">
        <f t="shared" si="9"/>
        <v>104.06595135582413</v>
      </c>
      <c r="I90">
        <f t="shared" si="10"/>
        <v>101.13294963200001</v>
      </c>
      <c r="J90">
        <f t="shared" si="11"/>
        <v>101.74424950386893</v>
      </c>
    </row>
    <row r="91" spans="4:10">
      <c r="D91">
        <v>0.89</v>
      </c>
      <c r="E91" s="2">
        <f t="shared" si="6"/>
        <v>5.4559142391196802E-2</v>
      </c>
      <c r="F91" s="2">
        <f t="shared" si="7"/>
        <v>8.1525584200000001E-2</v>
      </c>
      <c r="G91" s="2">
        <f t="shared" si="8"/>
        <v>7.5905211570076805E-2</v>
      </c>
      <c r="H91">
        <f t="shared" si="9"/>
        <v>103.99849433696835</v>
      </c>
      <c r="I91">
        <f t="shared" si="10"/>
        <v>101.032185738</v>
      </c>
      <c r="J91">
        <f t="shared" si="11"/>
        <v>101.65042672729155</v>
      </c>
    </row>
    <row r="92" spans="4:10">
      <c r="D92">
        <v>0.9</v>
      </c>
      <c r="E92" s="2">
        <f t="shared" si="6"/>
        <v>5.517239305248E-2</v>
      </c>
      <c r="F92" s="2">
        <f t="shared" si="7"/>
        <v>8.2441619999999993E-2</v>
      </c>
      <c r="G92" s="2">
        <f t="shared" si="8"/>
        <v>7.6758147420479997E-2</v>
      </c>
      <c r="H92">
        <f t="shared" si="9"/>
        <v>103.9310367642272</v>
      </c>
      <c r="I92">
        <f t="shared" si="10"/>
        <v>100.9314218</v>
      </c>
      <c r="J92">
        <f t="shared" si="11"/>
        <v>101.55660378374719</v>
      </c>
    </row>
    <row r="93" spans="4:10">
      <c r="D93">
        <v>0.91</v>
      </c>
      <c r="E93" s="2">
        <f t="shared" si="6"/>
        <v>5.5785648749084801E-2</v>
      </c>
      <c r="F93" s="2">
        <f t="shared" si="7"/>
        <v>8.3357656200000005E-2</v>
      </c>
      <c r="G93" s="2">
        <f t="shared" si="8"/>
        <v>7.76110847887648E-2</v>
      </c>
      <c r="H93">
        <f t="shared" si="9"/>
        <v>103.86357863760067</v>
      </c>
      <c r="I93">
        <f t="shared" si="10"/>
        <v>100.83065781799999</v>
      </c>
      <c r="J93">
        <f t="shared" si="11"/>
        <v>101.46278067323587</v>
      </c>
    </row>
    <row r="94" spans="4:10">
      <c r="D94">
        <v>0.92</v>
      </c>
      <c r="E94" s="2">
        <f t="shared" si="6"/>
        <v>5.6398909481011207E-2</v>
      </c>
      <c r="F94" s="2">
        <f t="shared" si="7"/>
        <v>8.4273692799999994E-2</v>
      </c>
      <c r="G94" s="2">
        <f t="shared" si="8"/>
        <v>7.8464023674931202E-2</v>
      </c>
      <c r="H94">
        <f t="shared" si="9"/>
        <v>103.79611995708876</v>
      </c>
      <c r="I94">
        <f t="shared" si="10"/>
        <v>100.729893792</v>
      </c>
      <c r="J94">
        <f t="shared" si="11"/>
        <v>101.36895739575756</v>
      </c>
    </row>
    <row r="95" spans="4:10">
      <c r="D95">
        <v>0.93</v>
      </c>
      <c r="E95" s="2">
        <f t="shared" si="6"/>
        <v>5.7012175248259203E-2</v>
      </c>
      <c r="F95" s="2">
        <f t="shared" si="7"/>
        <v>8.5189729800000003E-2</v>
      </c>
      <c r="G95" s="2">
        <f t="shared" si="8"/>
        <v>7.9316964078979202E-2</v>
      </c>
      <c r="H95">
        <f t="shared" si="9"/>
        <v>103.72866072269149</v>
      </c>
      <c r="I95">
        <f t="shared" si="10"/>
        <v>100.629129722</v>
      </c>
      <c r="J95">
        <f t="shared" si="11"/>
        <v>101.27513395131228</v>
      </c>
    </row>
    <row r="96" spans="4:10">
      <c r="D96">
        <v>0.94</v>
      </c>
      <c r="E96" s="2">
        <f t="shared" si="6"/>
        <v>5.7625446050828803E-2</v>
      </c>
      <c r="F96" s="2">
        <f t="shared" si="7"/>
        <v>8.6105767200000002E-2</v>
      </c>
      <c r="G96" s="2">
        <f t="shared" si="8"/>
        <v>8.0169906000908786E-2</v>
      </c>
      <c r="H96">
        <f t="shared" si="9"/>
        <v>103.66120093440882</v>
      </c>
      <c r="I96">
        <f t="shared" si="10"/>
        <v>100.528365608</v>
      </c>
      <c r="J96">
        <f t="shared" si="11"/>
        <v>101.18131033990004</v>
      </c>
    </row>
    <row r="97" spans="4:10">
      <c r="D97">
        <v>0.95</v>
      </c>
      <c r="E97" s="2">
        <f t="shared" si="6"/>
        <v>5.8238721888719994E-2</v>
      </c>
      <c r="F97" s="2">
        <f t="shared" si="7"/>
        <v>8.7021804999999994E-2</v>
      </c>
      <c r="G97" s="2">
        <f t="shared" si="8"/>
        <v>8.1022849440719996E-2</v>
      </c>
      <c r="H97">
        <f t="shared" si="9"/>
        <v>103.59374059224081</v>
      </c>
      <c r="I97">
        <f t="shared" si="10"/>
        <v>100.42760145</v>
      </c>
      <c r="J97">
        <f t="shared" si="11"/>
        <v>101.08748656152081</v>
      </c>
    </row>
    <row r="98" spans="4:10">
      <c r="D98">
        <v>0.96</v>
      </c>
      <c r="E98" s="2">
        <f t="shared" si="6"/>
        <v>5.8852002761932802E-2</v>
      </c>
      <c r="F98" s="2">
        <f t="shared" si="7"/>
        <v>8.7937843200000004E-2</v>
      </c>
      <c r="G98" s="2">
        <f t="shared" si="8"/>
        <v>8.1875794398412791E-2</v>
      </c>
      <c r="H98">
        <f t="shared" si="9"/>
        <v>103.52627969618739</v>
      </c>
      <c r="I98">
        <f t="shared" si="10"/>
        <v>100.326837248</v>
      </c>
      <c r="J98">
        <f t="shared" si="11"/>
        <v>100.99366261617459</v>
      </c>
    </row>
    <row r="99" spans="4:10">
      <c r="D99">
        <v>0.97</v>
      </c>
      <c r="E99" s="2">
        <f t="shared" si="6"/>
        <v>5.9465288670467201E-2</v>
      </c>
      <c r="F99" s="2">
        <f t="shared" si="7"/>
        <v>8.8853881800000006E-2</v>
      </c>
      <c r="G99" s="2">
        <f t="shared" si="8"/>
        <v>8.2728740873987197E-2</v>
      </c>
      <c r="H99">
        <f t="shared" si="9"/>
        <v>103.45881824624861</v>
      </c>
      <c r="I99">
        <f t="shared" si="10"/>
        <v>100.22607300199999</v>
      </c>
      <c r="J99">
        <f t="shared" si="11"/>
        <v>100.8998385038614</v>
      </c>
    </row>
    <row r="100" spans="4:10">
      <c r="D100">
        <v>0.98</v>
      </c>
      <c r="E100" s="2">
        <f t="shared" si="6"/>
        <v>6.0078579614323203E-2</v>
      </c>
      <c r="F100" s="2">
        <f t="shared" si="7"/>
        <v>8.97699208E-2</v>
      </c>
      <c r="G100" s="2">
        <f t="shared" si="8"/>
        <v>8.3581688867443188E-2</v>
      </c>
      <c r="H100">
        <f t="shared" si="9"/>
        <v>103.39135624242445</v>
      </c>
      <c r="I100">
        <f t="shared" si="10"/>
        <v>100.12530871200001</v>
      </c>
      <c r="J100">
        <f t="shared" si="11"/>
        <v>100.80601422458125</v>
      </c>
    </row>
    <row r="101" spans="4:10">
      <c r="D101">
        <v>0.99</v>
      </c>
      <c r="E101" s="2">
        <f t="shared" si="6"/>
        <v>6.0691875593500796E-2</v>
      </c>
      <c r="F101" s="2">
        <f t="shared" si="7"/>
        <v>9.0685960199999999E-2</v>
      </c>
      <c r="G101" s="2">
        <f t="shared" si="8"/>
        <v>8.4434638378780791E-2</v>
      </c>
      <c r="H101">
        <f t="shared" si="9"/>
        <v>103.32389368471492</v>
      </c>
      <c r="I101">
        <f t="shared" si="10"/>
        <v>100.024544378</v>
      </c>
      <c r="J101">
        <f t="shared" si="11"/>
        <v>100.71218977833411</v>
      </c>
    </row>
    <row r="102" spans="4:10">
      <c r="D102" s="9">
        <v>1</v>
      </c>
      <c r="E102" s="13">
        <f>D102*$B$7+D102^2*$B$8^2/200</f>
        <v>6.1305176608E-2</v>
      </c>
      <c r="F102" s="13">
        <f t="shared" si="7"/>
        <v>9.1602000000000003E-2</v>
      </c>
      <c r="G102" s="13">
        <f>D102*$B$17+D102^2*$B$18^2/200</f>
        <v>8.5287589407999992E-2</v>
      </c>
      <c r="H102" s="9">
        <f t="shared" si="9"/>
        <v>103.25643057312</v>
      </c>
      <c r="I102" s="9">
        <f t="shared" si="10"/>
        <v>99.923779999999994</v>
      </c>
      <c r="J102" s="9">
        <f t="shared" si="11"/>
        <v>100.61836516512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tabSelected="1" topLeftCell="A2" workbookViewId="0">
      <selection activeCell="I23" sqref="I23"/>
    </sheetView>
  </sheetViews>
  <sheetFormatPr defaultRowHeight="15"/>
  <sheetData>
    <row r="1" spans="1:9">
      <c r="A1" s="1" t="s">
        <v>23</v>
      </c>
      <c r="B1">
        <v>20.6</v>
      </c>
    </row>
    <row r="2" spans="1:9">
      <c r="A2" s="1" t="s">
        <v>24</v>
      </c>
      <c r="B2">
        <v>56.3</v>
      </c>
    </row>
    <row r="3" spans="1:9">
      <c r="A3" s="1" t="s">
        <v>25</v>
      </c>
      <c r="B3">
        <v>3.3</v>
      </c>
    </row>
    <row r="5" spans="1:9">
      <c r="A5" s="18" t="s">
        <v>36</v>
      </c>
      <c r="B5" s="18"/>
      <c r="C5" s="18"/>
      <c r="D5" s="18" t="s">
        <v>37</v>
      </c>
      <c r="E5" s="18"/>
      <c r="F5" s="18"/>
      <c r="G5" s="1" t="s">
        <v>43</v>
      </c>
      <c r="H5" s="1" t="s">
        <v>42</v>
      </c>
      <c r="I5" s="1" t="s">
        <v>41</v>
      </c>
    </row>
    <row r="6" spans="1:9">
      <c r="A6" s="1" t="s">
        <v>8</v>
      </c>
      <c r="B6" s="1" t="s">
        <v>9</v>
      </c>
      <c r="C6" s="1"/>
      <c r="D6" s="1" t="s">
        <v>8</v>
      </c>
      <c r="E6" s="1" t="s">
        <v>9</v>
      </c>
      <c r="F6" s="1"/>
    </row>
    <row r="7" spans="1:9">
      <c r="A7">
        <v>11.6</v>
      </c>
      <c r="B7">
        <v>1</v>
      </c>
      <c r="C7">
        <f>A7*B7</f>
        <v>11.6</v>
      </c>
      <c r="D7">
        <v>210</v>
      </c>
      <c r="E7">
        <v>1</v>
      </c>
      <c r="F7">
        <f>D7*E7</f>
        <v>210</v>
      </c>
      <c r="G7">
        <f>C7/F7*1000</f>
        <v>55.238095238095241</v>
      </c>
      <c r="H7">
        <f>(G7/$B$2)*(235+$B$1)-235</f>
        <v>15.778990104034534</v>
      </c>
      <c r="I7">
        <v>0</v>
      </c>
    </row>
    <row r="8" spans="1:9">
      <c r="A8">
        <v>11.5</v>
      </c>
      <c r="B8">
        <v>1</v>
      </c>
      <c r="C8">
        <f t="shared" ref="C8:C16" si="0">A8*B8</f>
        <v>11.5</v>
      </c>
      <c r="D8">
        <v>190</v>
      </c>
      <c r="E8">
        <v>1</v>
      </c>
      <c r="F8">
        <f t="shared" ref="F8:F16" si="1">D8*E8</f>
        <v>190</v>
      </c>
      <c r="G8">
        <f t="shared" ref="G8:G16" si="2">C8/F8*1000</f>
        <v>60.526315789473685</v>
      </c>
      <c r="H8">
        <f t="shared" ref="H8:H16" si="3">(G8/$B$2)*(235+$B$1)-235</f>
        <v>39.787323548658492</v>
      </c>
      <c r="I8">
        <v>5</v>
      </c>
    </row>
    <row r="9" spans="1:9">
      <c r="A9">
        <v>11.7</v>
      </c>
      <c r="B9">
        <v>1</v>
      </c>
      <c r="C9">
        <f t="shared" si="0"/>
        <v>11.7</v>
      </c>
      <c r="D9">
        <v>185</v>
      </c>
      <c r="E9">
        <v>1</v>
      </c>
      <c r="F9">
        <f t="shared" si="1"/>
        <v>185</v>
      </c>
      <c r="G9">
        <f t="shared" si="2"/>
        <v>63.243243243243235</v>
      </c>
      <c r="H9">
        <f t="shared" si="3"/>
        <v>52.122077672699277</v>
      </c>
      <c r="I9">
        <v>10</v>
      </c>
    </row>
    <row r="10" spans="1:9">
      <c r="A10">
        <v>11.85</v>
      </c>
      <c r="B10">
        <v>1</v>
      </c>
      <c r="C10">
        <f t="shared" si="0"/>
        <v>11.85</v>
      </c>
      <c r="D10">
        <v>180</v>
      </c>
      <c r="E10">
        <v>1</v>
      </c>
      <c r="F10">
        <f t="shared" si="1"/>
        <v>180</v>
      </c>
      <c r="G10">
        <f t="shared" si="2"/>
        <v>65.833333333333329</v>
      </c>
      <c r="H10">
        <f t="shared" si="3"/>
        <v>63.880994671403187</v>
      </c>
      <c r="I10">
        <v>15</v>
      </c>
    </row>
    <row r="11" spans="1:9">
      <c r="A11">
        <v>11.9</v>
      </c>
      <c r="B11">
        <v>1</v>
      </c>
      <c r="C11">
        <f t="shared" si="0"/>
        <v>11.9</v>
      </c>
      <c r="D11">
        <v>180</v>
      </c>
      <c r="E11">
        <v>1</v>
      </c>
      <c r="F11">
        <f t="shared" si="1"/>
        <v>180</v>
      </c>
      <c r="G11">
        <f t="shared" si="2"/>
        <v>66.1111111111111</v>
      </c>
      <c r="H11">
        <f t="shared" si="3"/>
        <v>65.142095914742413</v>
      </c>
      <c r="I11">
        <v>20</v>
      </c>
    </row>
    <row r="12" spans="1:9">
      <c r="A12">
        <v>11.95</v>
      </c>
      <c r="B12">
        <v>1</v>
      </c>
      <c r="C12">
        <f t="shared" si="0"/>
        <v>11.95</v>
      </c>
      <c r="D12">
        <v>185</v>
      </c>
      <c r="E12">
        <v>1</v>
      </c>
      <c r="F12">
        <f t="shared" si="1"/>
        <v>185</v>
      </c>
      <c r="G12">
        <f t="shared" si="2"/>
        <v>64.594594594594582</v>
      </c>
      <c r="H12">
        <f t="shared" si="3"/>
        <v>58.257164802457851</v>
      </c>
      <c r="I12">
        <v>25</v>
      </c>
    </row>
    <row r="13" spans="1:9">
      <c r="A13">
        <v>11.95</v>
      </c>
      <c r="B13">
        <v>1</v>
      </c>
      <c r="C13">
        <f t="shared" si="0"/>
        <v>11.95</v>
      </c>
      <c r="D13">
        <v>185</v>
      </c>
      <c r="E13">
        <v>1</v>
      </c>
      <c r="F13">
        <f t="shared" si="1"/>
        <v>185</v>
      </c>
      <c r="G13">
        <f t="shared" si="2"/>
        <v>64.594594594594582</v>
      </c>
      <c r="H13">
        <f t="shared" si="3"/>
        <v>58.257164802457851</v>
      </c>
      <c r="I13">
        <v>30</v>
      </c>
    </row>
    <row r="14" spans="1:9">
      <c r="A14">
        <v>11.85</v>
      </c>
      <c r="B14">
        <v>1</v>
      </c>
      <c r="C14">
        <f t="shared" si="0"/>
        <v>11.85</v>
      </c>
      <c r="D14">
        <v>185</v>
      </c>
      <c r="E14">
        <v>1</v>
      </c>
      <c r="F14">
        <f t="shared" si="1"/>
        <v>185</v>
      </c>
      <c r="G14">
        <f t="shared" si="2"/>
        <v>64.054054054054049</v>
      </c>
      <c r="H14">
        <f t="shared" si="3"/>
        <v>55.803129950554421</v>
      </c>
      <c r="I14">
        <v>35</v>
      </c>
    </row>
    <row r="15" spans="1:9">
      <c r="A15">
        <v>11.8</v>
      </c>
      <c r="B15">
        <v>1</v>
      </c>
      <c r="C15">
        <f t="shared" si="0"/>
        <v>11.8</v>
      </c>
      <c r="D15">
        <v>175</v>
      </c>
      <c r="E15">
        <v>1</v>
      </c>
      <c r="F15">
        <f t="shared" si="1"/>
        <v>175</v>
      </c>
      <c r="G15">
        <f t="shared" si="2"/>
        <v>67.428571428571431</v>
      </c>
      <c r="H15">
        <f t="shared" si="3"/>
        <v>71.1233189545801</v>
      </c>
      <c r="I15">
        <v>40</v>
      </c>
    </row>
    <row r="16" spans="1:9">
      <c r="A16">
        <v>11.8</v>
      </c>
      <c r="B16">
        <v>1</v>
      </c>
      <c r="C16">
        <f t="shared" si="0"/>
        <v>11.8</v>
      </c>
      <c r="D16">
        <v>170</v>
      </c>
      <c r="E16">
        <v>1</v>
      </c>
      <c r="F16">
        <f t="shared" si="1"/>
        <v>170</v>
      </c>
      <c r="G16">
        <f t="shared" si="2"/>
        <v>69.411764705882348</v>
      </c>
      <c r="H16">
        <f t="shared" si="3"/>
        <v>80.126945982655911</v>
      </c>
      <c r="I16">
        <v>45</v>
      </c>
    </row>
    <row r="19" spans="1:9">
      <c r="A19" s="1" t="s">
        <v>41</v>
      </c>
      <c r="B19" s="18" t="s">
        <v>36</v>
      </c>
      <c r="C19" s="18"/>
      <c r="D19" s="18"/>
      <c r="E19" s="18" t="s">
        <v>60</v>
      </c>
      <c r="F19" s="18"/>
      <c r="G19" s="18"/>
      <c r="H19" s="1" t="s">
        <v>43</v>
      </c>
      <c r="I19" s="1" t="s">
        <v>42</v>
      </c>
    </row>
    <row r="20" spans="1:9">
      <c r="B20" s="1" t="s">
        <v>8</v>
      </c>
      <c r="C20" s="1" t="s">
        <v>9</v>
      </c>
      <c r="D20" s="1"/>
      <c r="E20" s="1" t="s">
        <v>8</v>
      </c>
      <c r="F20" s="1" t="s">
        <v>9</v>
      </c>
      <c r="G20" s="1"/>
    </row>
    <row r="21" spans="1:9">
      <c r="A21">
        <v>0</v>
      </c>
      <c r="B21">
        <v>11.6</v>
      </c>
      <c r="C21">
        <v>1</v>
      </c>
      <c r="D21">
        <f>B21*C21</f>
        <v>11.6</v>
      </c>
      <c r="E21">
        <v>210</v>
      </c>
      <c r="F21">
        <v>1</v>
      </c>
      <c r="G21">
        <f>E21*F21</f>
        <v>210</v>
      </c>
      <c r="H21">
        <f>D21/G21*1000</f>
        <v>55.238095238095241</v>
      </c>
      <c r="I21" s="9">
        <f>(H21/$B$2)*(235+$B$1)-235</f>
        <v>15.778990104034534</v>
      </c>
    </row>
    <row r="22" spans="1:9">
      <c r="A22">
        <v>5</v>
      </c>
      <c r="B22">
        <v>11.5</v>
      </c>
      <c r="C22">
        <v>1</v>
      </c>
      <c r="D22">
        <f t="shared" ref="D22:D30" si="4">B22*C22</f>
        <v>11.5</v>
      </c>
      <c r="E22">
        <v>190</v>
      </c>
      <c r="F22">
        <v>1</v>
      </c>
      <c r="G22">
        <f t="shared" ref="G22:G30" si="5">E22*F22</f>
        <v>190</v>
      </c>
      <c r="H22">
        <f t="shared" ref="H22:H30" si="6">D22/G22*1000</f>
        <v>60.526315789473685</v>
      </c>
      <c r="I22" s="9">
        <f t="shared" ref="I22:I30" si="7">(H22/$B$2)*(235+$B$1)-235</f>
        <v>39.787323548658492</v>
      </c>
    </row>
    <row r="23" spans="1:9">
      <c r="A23">
        <v>10</v>
      </c>
      <c r="B23">
        <v>11.7</v>
      </c>
      <c r="C23">
        <v>1</v>
      </c>
      <c r="D23">
        <f t="shared" si="4"/>
        <v>11.7</v>
      </c>
      <c r="E23">
        <v>185</v>
      </c>
      <c r="F23">
        <v>1</v>
      </c>
      <c r="G23">
        <f t="shared" si="5"/>
        <v>185</v>
      </c>
      <c r="H23">
        <f t="shared" si="6"/>
        <v>63.243243243243235</v>
      </c>
      <c r="I23" s="9">
        <f t="shared" si="7"/>
        <v>52.122077672699277</v>
      </c>
    </row>
    <row r="24" spans="1:9">
      <c r="A24">
        <v>15</v>
      </c>
      <c r="B24">
        <v>11.85</v>
      </c>
      <c r="C24">
        <v>1</v>
      </c>
      <c r="D24">
        <f t="shared" si="4"/>
        <v>11.85</v>
      </c>
      <c r="E24">
        <v>180</v>
      </c>
      <c r="F24">
        <v>1</v>
      </c>
      <c r="G24">
        <f t="shared" si="5"/>
        <v>180</v>
      </c>
      <c r="H24">
        <f t="shared" si="6"/>
        <v>65.833333333333329</v>
      </c>
      <c r="I24" s="9">
        <f t="shared" si="7"/>
        <v>63.880994671403187</v>
      </c>
    </row>
    <row r="25" spans="1:9">
      <c r="A25">
        <v>20</v>
      </c>
      <c r="B25">
        <v>11.9</v>
      </c>
      <c r="C25">
        <v>1</v>
      </c>
      <c r="D25">
        <f t="shared" si="4"/>
        <v>11.9</v>
      </c>
      <c r="E25">
        <v>180</v>
      </c>
      <c r="F25">
        <v>1</v>
      </c>
      <c r="G25">
        <f t="shared" si="5"/>
        <v>180</v>
      </c>
      <c r="H25">
        <f t="shared" si="6"/>
        <v>66.1111111111111</v>
      </c>
      <c r="I25" s="9">
        <f t="shared" si="7"/>
        <v>65.142095914742413</v>
      </c>
    </row>
    <row r="26" spans="1:9">
      <c r="A26">
        <v>25</v>
      </c>
      <c r="B26">
        <v>11.95</v>
      </c>
      <c r="C26">
        <v>1</v>
      </c>
      <c r="D26">
        <f t="shared" si="4"/>
        <v>11.95</v>
      </c>
      <c r="E26">
        <v>185</v>
      </c>
      <c r="F26">
        <v>1</v>
      </c>
      <c r="G26">
        <f t="shared" si="5"/>
        <v>185</v>
      </c>
      <c r="H26">
        <f t="shared" si="6"/>
        <v>64.594594594594582</v>
      </c>
      <c r="I26" s="9">
        <f t="shared" si="7"/>
        <v>58.257164802457851</v>
      </c>
    </row>
    <row r="27" spans="1:9">
      <c r="A27">
        <v>30</v>
      </c>
      <c r="B27">
        <v>11.95</v>
      </c>
      <c r="C27">
        <v>1</v>
      </c>
      <c r="D27">
        <f t="shared" si="4"/>
        <v>11.95</v>
      </c>
      <c r="E27">
        <v>185</v>
      </c>
      <c r="F27">
        <v>1</v>
      </c>
      <c r="G27">
        <f t="shared" si="5"/>
        <v>185</v>
      </c>
      <c r="H27">
        <f t="shared" si="6"/>
        <v>64.594594594594582</v>
      </c>
      <c r="I27" s="9">
        <f t="shared" si="7"/>
        <v>58.257164802457851</v>
      </c>
    </row>
    <row r="28" spans="1:9">
      <c r="A28">
        <v>35</v>
      </c>
      <c r="B28">
        <v>11.85</v>
      </c>
      <c r="C28">
        <v>1</v>
      </c>
      <c r="D28">
        <f t="shared" si="4"/>
        <v>11.85</v>
      </c>
      <c r="E28">
        <v>185</v>
      </c>
      <c r="F28">
        <v>1</v>
      </c>
      <c r="G28">
        <f t="shared" si="5"/>
        <v>185</v>
      </c>
      <c r="H28">
        <f t="shared" si="6"/>
        <v>64.054054054054049</v>
      </c>
      <c r="I28" s="9">
        <f t="shared" si="7"/>
        <v>55.803129950554421</v>
      </c>
    </row>
    <row r="29" spans="1:9">
      <c r="A29">
        <v>40</v>
      </c>
      <c r="B29">
        <v>11.8</v>
      </c>
      <c r="C29">
        <v>1</v>
      </c>
      <c r="D29">
        <f t="shared" si="4"/>
        <v>11.8</v>
      </c>
      <c r="E29">
        <v>175</v>
      </c>
      <c r="F29">
        <v>1</v>
      </c>
      <c r="G29">
        <f t="shared" si="5"/>
        <v>175</v>
      </c>
      <c r="H29">
        <f t="shared" si="6"/>
        <v>67.428571428571431</v>
      </c>
      <c r="I29" s="9">
        <f t="shared" si="7"/>
        <v>71.1233189545801</v>
      </c>
    </row>
    <row r="30" spans="1:9">
      <c r="A30">
        <v>45</v>
      </c>
      <c r="B30">
        <v>11.8</v>
      </c>
      <c r="C30">
        <v>1</v>
      </c>
      <c r="D30">
        <f t="shared" si="4"/>
        <v>11.8</v>
      </c>
      <c r="E30">
        <v>170</v>
      </c>
      <c r="F30">
        <v>1</v>
      </c>
      <c r="G30">
        <f t="shared" si="5"/>
        <v>170</v>
      </c>
      <c r="H30">
        <f t="shared" si="6"/>
        <v>69.411764705882348</v>
      </c>
      <c r="I30" s="9">
        <f t="shared" si="7"/>
        <v>80.126945982655911</v>
      </c>
    </row>
  </sheetData>
  <mergeCells count="4">
    <mergeCell ref="A5:C5"/>
    <mergeCell ref="D5:F5"/>
    <mergeCell ref="B19:D19"/>
    <mergeCell ref="E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ReultatiMjerenja</vt:lpstr>
      <vt:lpstr>deltau=f(cosfi)</vt:lpstr>
      <vt:lpstr>U2=f(cosfi)</vt:lpstr>
      <vt:lpstr>PorastTemperature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2020-06-03T12:16:59Z</dcterms:created>
  <dcterms:modified xsi:type="dcterms:W3CDTF">2020-07-04T14:32:12Z</dcterms:modified>
</cp:coreProperties>
</file>