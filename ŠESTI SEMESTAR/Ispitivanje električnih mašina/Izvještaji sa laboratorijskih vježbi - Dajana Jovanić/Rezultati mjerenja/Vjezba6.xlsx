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PH" sheetId="1" r:id="rId1"/>
    <sheet name="KS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V4" i="2"/>
  <c r="V5"/>
  <c r="V6"/>
  <c r="V7"/>
  <c r="V8"/>
  <c r="V3"/>
  <c r="U4"/>
  <c r="U5"/>
  <c r="U6"/>
  <c r="U7"/>
  <c r="U8"/>
  <c r="U3"/>
  <c r="T4"/>
  <c r="T5"/>
  <c r="T6"/>
  <c r="T7"/>
  <c r="T8"/>
  <c r="T3"/>
  <c r="J4"/>
  <c r="J5"/>
  <c r="J6"/>
  <c r="J7"/>
  <c r="J8"/>
  <c r="J3"/>
  <c r="P4"/>
  <c r="P5"/>
  <c r="P6"/>
  <c r="P7"/>
  <c r="P8"/>
  <c r="P3"/>
  <c r="S4"/>
  <c r="S5"/>
  <c r="S6"/>
  <c r="S7"/>
  <c r="S8"/>
  <c r="S3"/>
  <c r="M4"/>
  <c r="M5"/>
  <c r="M6"/>
  <c r="M7"/>
  <c r="M8"/>
  <c r="M3"/>
  <c r="G4"/>
  <c r="G5"/>
  <c r="G6"/>
  <c r="G7"/>
  <c r="G8"/>
  <c r="G3"/>
  <c r="D8"/>
  <c r="D4"/>
  <c r="D5"/>
  <c r="D6"/>
  <c r="D7"/>
  <c r="D3"/>
  <c r="X13" i="1"/>
  <c r="X4"/>
  <c r="X5"/>
  <c r="X6"/>
  <c r="X7"/>
  <c r="X8"/>
  <c r="X9"/>
  <c r="X10"/>
  <c r="X11"/>
  <c r="X12"/>
  <c r="X3"/>
  <c r="W4"/>
  <c r="W5"/>
  <c r="W6"/>
  <c r="W7"/>
  <c r="W8"/>
  <c r="W9"/>
  <c r="W10"/>
  <c r="W11"/>
  <c r="W12"/>
  <c r="W13"/>
  <c r="W3"/>
  <c r="V4"/>
  <c r="V5"/>
  <c r="V6"/>
  <c r="V7"/>
  <c r="V8"/>
  <c r="V9"/>
  <c r="V10"/>
  <c r="V11"/>
  <c r="V12"/>
  <c r="V13"/>
  <c r="V3"/>
  <c r="U4"/>
  <c r="U5"/>
  <c r="U6"/>
  <c r="U7"/>
  <c r="U8"/>
  <c r="U9"/>
  <c r="U10"/>
  <c r="U11"/>
  <c r="U12"/>
  <c r="U13"/>
  <c r="U3"/>
  <c r="T4"/>
  <c r="T5"/>
  <c r="T6"/>
  <c r="T7"/>
  <c r="T8"/>
  <c r="T9"/>
  <c r="T10"/>
  <c r="T11"/>
  <c r="T12"/>
  <c r="T13"/>
  <c r="T3"/>
  <c r="S4"/>
  <c r="S5"/>
  <c r="S6"/>
  <c r="S7"/>
  <c r="S8"/>
  <c r="S9"/>
  <c r="S10"/>
  <c r="S11"/>
  <c r="S12"/>
  <c r="S13"/>
  <c r="S3"/>
  <c r="P4"/>
  <c r="P5"/>
  <c r="P6"/>
  <c r="P7"/>
  <c r="P8"/>
  <c r="P9"/>
  <c r="P10"/>
  <c r="P11"/>
  <c r="P12"/>
  <c r="P13"/>
  <c r="P3"/>
  <c r="M4"/>
  <c r="M5"/>
  <c r="M6"/>
  <c r="M7"/>
  <c r="M8"/>
  <c r="M9"/>
  <c r="M10"/>
  <c r="M11"/>
  <c r="M12"/>
  <c r="M13"/>
  <c r="M3"/>
  <c r="J4"/>
  <c r="J5"/>
  <c r="J6"/>
  <c r="J7"/>
  <c r="J8"/>
  <c r="J9"/>
  <c r="J10"/>
  <c r="J11"/>
  <c r="J12"/>
  <c r="J13"/>
  <c r="J3"/>
  <c r="G4"/>
  <c r="G5"/>
  <c r="G6"/>
  <c r="G7"/>
  <c r="G8"/>
  <c r="G9"/>
  <c r="G10"/>
  <c r="G11"/>
  <c r="G12"/>
  <c r="G13"/>
  <c r="G3"/>
  <c r="D4"/>
  <c r="D5"/>
  <c r="D6"/>
  <c r="D7"/>
  <c r="D8"/>
  <c r="D9"/>
  <c r="D10"/>
  <c r="D11"/>
  <c r="D12"/>
  <c r="D13"/>
  <c r="D3"/>
</calcChain>
</file>

<file path=xl/sharedStrings.xml><?xml version="1.0" encoding="utf-8"?>
<sst xmlns="http://schemas.openxmlformats.org/spreadsheetml/2006/main" count="47" uniqueCount="25">
  <si>
    <t>RMB</t>
  </si>
  <si>
    <t>Uab0[V]</t>
  </si>
  <si>
    <t>Ubc0[V]</t>
  </si>
  <si>
    <t>Ia0[A]</t>
  </si>
  <si>
    <t>Ib0[A]</t>
  </si>
  <si>
    <t>P10[W]</t>
  </si>
  <si>
    <t>P20[W]</t>
  </si>
  <si>
    <t>α</t>
  </si>
  <si>
    <t>k</t>
  </si>
  <si>
    <t>P0[W]</t>
  </si>
  <si>
    <t>I0[A]</t>
  </si>
  <si>
    <t>Pcus0[W]</t>
  </si>
  <si>
    <t>Rf</t>
  </si>
  <si>
    <t>P0-Pcuso</t>
  </si>
  <si>
    <t>uo2</t>
  </si>
  <si>
    <t>RBM</t>
  </si>
  <si>
    <t>Uabk[V]</t>
  </si>
  <si>
    <t>Ubck[V]</t>
  </si>
  <si>
    <t>Iak[A]</t>
  </si>
  <si>
    <t>Ibk[A]</t>
  </si>
  <si>
    <t>P1k[W]</t>
  </si>
  <si>
    <t>P2k[W]</t>
  </si>
  <si>
    <t>Uk[V]</t>
  </si>
  <si>
    <t>Ik[A]</t>
  </si>
  <si>
    <t>Pk[W]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</si>
</sst>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workbookViewId="0">
      <selection activeCell="H24" sqref="H24"/>
    </sheetView>
  </sheetViews>
  <sheetFormatPr defaultRowHeight="15"/>
  <cols>
    <col min="1" max="1" width="5.140625" bestFit="1" customWidth="1"/>
    <col min="2" max="2" width="5" bestFit="1" customWidth="1"/>
    <col min="3" max="3" width="2" bestFit="1" customWidth="1"/>
    <col min="4" max="5" width="4" bestFit="1" customWidth="1"/>
    <col min="6" max="6" width="2" bestFit="1" customWidth="1"/>
    <col min="7" max="7" width="4" bestFit="1" customWidth="1"/>
    <col min="8" max="8" width="5" bestFit="1" customWidth="1"/>
    <col min="9" max="9" width="2" bestFit="1" customWidth="1"/>
    <col min="10" max="11" width="5" bestFit="1" customWidth="1"/>
    <col min="12" max="12" width="2" bestFit="1" customWidth="1"/>
    <col min="13" max="14" width="5" bestFit="1" customWidth="1"/>
    <col min="15" max="15" width="3" bestFit="1" customWidth="1"/>
    <col min="16" max="16" width="4" bestFit="1" customWidth="1"/>
    <col min="17" max="17" width="5" bestFit="1" customWidth="1"/>
    <col min="18" max="18" width="3" bestFit="1" customWidth="1"/>
    <col min="19" max="19" width="4" bestFit="1" customWidth="1"/>
    <col min="20" max="20" width="6.5703125" bestFit="1" customWidth="1"/>
    <col min="21" max="21" width="6" bestFit="1" customWidth="1"/>
    <col min="22" max="22" width="9.42578125" bestFit="1" customWidth="1"/>
    <col min="23" max="23" width="9" bestFit="1" customWidth="1"/>
  </cols>
  <sheetData>
    <row r="1" spans="1:24">
      <c r="A1" s="5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  <c r="L1" s="4"/>
      <c r="M1" s="4"/>
      <c r="N1" s="4" t="s">
        <v>5</v>
      </c>
      <c r="O1" s="4"/>
      <c r="P1" s="4"/>
      <c r="Q1" s="4" t="s">
        <v>6</v>
      </c>
      <c r="R1" s="4"/>
      <c r="S1" s="4"/>
      <c r="T1" s="1" t="s">
        <v>9</v>
      </c>
      <c r="U1" s="1" t="s">
        <v>10</v>
      </c>
      <c r="V1" s="1" t="s">
        <v>11</v>
      </c>
      <c r="W1" s="1" t="s">
        <v>13</v>
      </c>
      <c r="X1" s="1" t="s">
        <v>14</v>
      </c>
    </row>
    <row r="2" spans="1:24">
      <c r="A2" s="5"/>
      <c r="B2" s="1" t="s">
        <v>7</v>
      </c>
      <c r="C2" s="1" t="s">
        <v>8</v>
      </c>
      <c r="D2" s="1"/>
      <c r="E2" s="1" t="s">
        <v>7</v>
      </c>
      <c r="F2" s="1" t="s">
        <v>8</v>
      </c>
      <c r="G2" s="1"/>
      <c r="H2" s="1" t="s">
        <v>7</v>
      </c>
      <c r="I2" s="1" t="s">
        <v>8</v>
      </c>
      <c r="J2" s="1"/>
      <c r="K2" s="1" t="s">
        <v>7</v>
      </c>
      <c r="L2" s="1" t="s">
        <v>8</v>
      </c>
      <c r="M2" s="1"/>
      <c r="N2" s="1" t="s">
        <v>7</v>
      </c>
      <c r="O2" s="1" t="s">
        <v>8</v>
      </c>
      <c r="P2" s="1"/>
      <c r="Q2" s="1" t="s">
        <v>7</v>
      </c>
      <c r="R2" s="1" t="s">
        <v>8</v>
      </c>
      <c r="S2" s="1"/>
    </row>
    <row r="3" spans="1:24">
      <c r="A3" s="1">
        <v>1</v>
      </c>
      <c r="B3">
        <v>400</v>
      </c>
      <c r="C3">
        <v>1</v>
      </c>
      <c r="D3" s="2">
        <f>B3*C3</f>
        <v>400</v>
      </c>
      <c r="E3">
        <v>400</v>
      </c>
      <c r="F3">
        <v>1</v>
      </c>
      <c r="G3" s="2">
        <f>E3*F3</f>
        <v>400</v>
      </c>
      <c r="H3">
        <v>3.5</v>
      </c>
      <c r="I3">
        <v>1</v>
      </c>
      <c r="J3" s="2">
        <f>H3*I3</f>
        <v>3.5</v>
      </c>
      <c r="K3">
        <v>4</v>
      </c>
      <c r="L3">
        <v>1</v>
      </c>
      <c r="M3" s="2">
        <f>K3*L3</f>
        <v>4</v>
      </c>
      <c r="N3">
        <v>30</v>
      </c>
      <c r="O3">
        <v>30</v>
      </c>
      <c r="P3" s="2">
        <f>N3*O3</f>
        <v>900</v>
      </c>
      <c r="Q3">
        <v>22</v>
      </c>
      <c r="R3">
        <v>30</v>
      </c>
      <c r="S3" s="2">
        <f>Q3*R3</f>
        <v>660</v>
      </c>
      <c r="T3" s="2">
        <f>P3-S3</f>
        <v>240</v>
      </c>
      <c r="U3" s="2">
        <f>(J3+M3)/2</f>
        <v>3.75</v>
      </c>
      <c r="V3" s="3">
        <f>3*$B$15*U3^2</f>
        <v>131.203125</v>
      </c>
      <c r="W3" s="3">
        <f>T3-V3</f>
        <v>108.796875</v>
      </c>
      <c r="X3">
        <f>D3*D3/1000</f>
        <v>160</v>
      </c>
    </row>
    <row r="4" spans="1:24">
      <c r="A4" s="1">
        <v>2</v>
      </c>
      <c r="B4">
        <v>380</v>
      </c>
      <c r="C4">
        <v>1</v>
      </c>
      <c r="D4" s="2">
        <f t="shared" ref="D4:D13" si="0">B4*C4</f>
        <v>380</v>
      </c>
      <c r="E4">
        <v>380</v>
      </c>
      <c r="F4">
        <v>1</v>
      </c>
      <c r="G4" s="2">
        <f t="shared" ref="G4:G13" si="1">E4*F4</f>
        <v>380</v>
      </c>
      <c r="H4">
        <v>3.1</v>
      </c>
      <c r="I4">
        <v>1</v>
      </c>
      <c r="J4" s="2">
        <f t="shared" ref="J4:J13" si="2">H4*I4</f>
        <v>3.1</v>
      </c>
      <c r="K4">
        <v>3.5</v>
      </c>
      <c r="L4">
        <v>1</v>
      </c>
      <c r="M4" s="2">
        <f t="shared" ref="M4:M13" si="3">K4*L4</f>
        <v>3.5</v>
      </c>
      <c r="N4">
        <v>25</v>
      </c>
      <c r="O4">
        <v>30</v>
      </c>
      <c r="P4" s="2">
        <f t="shared" ref="P4:P13" si="4">N4*O4</f>
        <v>750</v>
      </c>
      <c r="Q4">
        <v>18.5</v>
      </c>
      <c r="R4">
        <v>30</v>
      </c>
      <c r="S4" s="2">
        <f t="shared" ref="S4:S13" si="5">Q4*R4</f>
        <v>555</v>
      </c>
      <c r="T4" s="2">
        <f t="shared" ref="T4:T13" si="6">P4-S4</f>
        <v>195</v>
      </c>
      <c r="U4" s="2">
        <f t="shared" ref="U4:U13" si="7">(J4+M4)/2</f>
        <v>3.3</v>
      </c>
      <c r="V4" s="3">
        <f t="shared" ref="V4:V13" si="8">3*$B$15*U4^2</f>
        <v>101.60369999999999</v>
      </c>
      <c r="W4" s="3">
        <f t="shared" ref="W4:W13" si="9">T4-V4</f>
        <v>93.396300000000011</v>
      </c>
      <c r="X4">
        <f t="shared" ref="X4:X12" si="10">D4*D4/1000</f>
        <v>144.4</v>
      </c>
    </row>
    <row r="5" spans="1:24">
      <c r="A5" s="1">
        <v>3</v>
      </c>
      <c r="B5">
        <v>360</v>
      </c>
      <c r="C5">
        <v>1</v>
      </c>
      <c r="D5" s="2">
        <f t="shared" si="0"/>
        <v>360</v>
      </c>
      <c r="E5">
        <v>360</v>
      </c>
      <c r="F5">
        <v>1</v>
      </c>
      <c r="G5" s="2">
        <f t="shared" si="1"/>
        <v>360</v>
      </c>
      <c r="H5">
        <v>2.8</v>
      </c>
      <c r="I5">
        <v>1</v>
      </c>
      <c r="J5" s="2">
        <f t="shared" si="2"/>
        <v>2.8</v>
      </c>
      <c r="K5">
        <v>3.15</v>
      </c>
      <c r="L5">
        <v>1</v>
      </c>
      <c r="M5" s="2">
        <f t="shared" si="3"/>
        <v>3.15</v>
      </c>
      <c r="N5">
        <v>22</v>
      </c>
      <c r="O5">
        <v>30</v>
      </c>
      <c r="P5" s="2">
        <f t="shared" si="4"/>
        <v>660</v>
      </c>
      <c r="Q5">
        <v>16</v>
      </c>
      <c r="R5">
        <v>30</v>
      </c>
      <c r="S5" s="2">
        <f t="shared" si="5"/>
        <v>480</v>
      </c>
      <c r="T5" s="2">
        <f t="shared" si="6"/>
        <v>180</v>
      </c>
      <c r="U5" s="2">
        <f t="shared" si="7"/>
        <v>2.9749999999999996</v>
      </c>
      <c r="V5" s="3">
        <f t="shared" si="8"/>
        <v>82.576331249999981</v>
      </c>
      <c r="W5" s="3">
        <f t="shared" si="9"/>
        <v>97.423668750000019</v>
      </c>
      <c r="X5">
        <f t="shared" si="10"/>
        <v>129.6</v>
      </c>
    </row>
    <row r="6" spans="1:24">
      <c r="A6" s="1">
        <v>4</v>
      </c>
      <c r="B6">
        <v>340</v>
      </c>
      <c r="C6">
        <v>1</v>
      </c>
      <c r="D6" s="2">
        <f t="shared" si="0"/>
        <v>340</v>
      </c>
      <c r="E6">
        <v>340</v>
      </c>
      <c r="F6">
        <v>1</v>
      </c>
      <c r="G6" s="2">
        <f t="shared" si="1"/>
        <v>340</v>
      </c>
      <c r="H6">
        <v>2.5</v>
      </c>
      <c r="I6">
        <v>1</v>
      </c>
      <c r="J6" s="2">
        <f t="shared" si="2"/>
        <v>2.5</v>
      </c>
      <c r="K6">
        <v>2.8</v>
      </c>
      <c r="L6">
        <v>1</v>
      </c>
      <c r="M6" s="2">
        <f t="shared" si="3"/>
        <v>2.8</v>
      </c>
      <c r="N6">
        <v>18.5</v>
      </c>
      <c r="O6">
        <v>30</v>
      </c>
      <c r="P6" s="2">
        <f t="shared" si="4"/>
        <v>555</v>
      </c>
      <c r="Q6">
        <v>14</v>
      </c>
      <c r="R6">
        <v>30</v>
      </c>
      <c r="S6" s="2">
        <f t="shared" si="5"/>
        <v>420</v>
      </c>
      <c r="T6" s="2">
        <f t="shared" si="6"/>
        <v>135</v>
      </c>
      <c r="U6" s="2">
        <f t="shared" si="7"/>
        <v>2.65</v>
      </c>
      <c r="V6" s="3">
        <f t="shared" si="8"/>
        <v>65.519925000000001</v>
      </c>
      <c r="W6" s="3">
        <f t="shared" si="9"/>
        <v>69.480074999999999</v>
      </c>
      <c r="X6">
        <f t="shared" si="10"/>
        <v>115.6</v>
      </c>
    </row>
    <row r="7" spans="1:24">
      <c r="A7" s="1">
        <v>5</v>
      </c>
      <c r="B7">
        <v>320</v>
      </c>
      <c r="C7">
        <v>1</v>
      </c>
      <c r="D7" s="2">
        <f t="shared" si="0"/>
        <v>320</v>
      </c>
      <c r="E7">
        <v>320</v>
      </c>
      <c r="F7">
        <v>1</v>
      </c>
      <c r="G7" s="2">
        <f t="shared" si="1"/>
        <v>320</v>
      </c>
      <c r="H7">
        <v>2.2999999999999998</v>
      </c>
      <c r="I7">
        <v>1</v>
      </c>
      <c r="J7" s="2">
        <f t="shared" si="2"/>
        <v>2.2999999999999998</v>
      </c>
      <c r="K7">
        <v>2.6</v>
      </c>
      <c r="L7">
        <v>1</v>
      </c>
      <c r="M7" s="2">
        <f t="shared" si="3"/>
        <v>2.6</v>
      </c>
      <c r="N7">
        <v>16.5</v>
      </c>
      <c r="O7">
        <v>30</v>
      </c>
      <c r="P7" s="2">
        <f t="shared" si="4"/>
        <v>495</v>
      </c>
      <c r="Q7">
        <v>12</v>
      </c>
      <c r="R7">
        <v>30</v>
      </c>
      <c r="S7" s="2">
        <f t="shared" si="5"/>
        <v>360</v>
      </c>
      <c r="T7" s="2">
        <f t="shared" si="6"/>
        <v>135</v>
      </c>
      <c r="U7" s="2">
        <f t="shared" si="7"/>
        <v>2.4500000000000002</v>
      </c>
      <c r="V7" s="3">
        <f t="shared" si="8"/>
        <v>56.003325000000011</v>
      </c>
      <c r="W7" s="3">
        <f t="shared" si="9"/>
        <v>78.996674999999982</v>
      </c>
      <c r="X7">
        <f t="shared" si="10"/>
        <v>102.4</v>
      </c>
    </row>
    <row r="8" spans="1:24">
      <c r="A8" s="1">
        <v>6</v>
      </c>
      <c r="B8">
        <v>300</v>
      </c>
      <c r="C8">
        <v>1</v>
      </c>
      <c r="D8" s="2">
        <f t="shared" si="0"/>
        <v>300</v>
      </c>
      <c r="E8">
        <v>300</v>
      </c>
      <c r="F8">
        <v>1</v>
      </c>
      <c r="G8" s="2">
        <f t="shared" si="1"/>
        <v>300</v>
      </c>
      <c r="H8">
        <v>2.1</v>
      </c>
      <c r="I8">
        <v>1</v>
      </c>
      <c r="J8" s="2">
        <f t="shared" si="2"/>
        <v>2.1</v>
      </c>
      <c r="K8">
        <v>2.2999999999999998</v>
      </c>
      <c r="L8">
        <v>1</v>
      </c>
      <c r="M8" s="2">
        <f t="shared" si="3"/>
        <v>2.2999999999999998</v>
      </c>
      <c r="N8">
        <v>14</v>
      </c>
      <c r="O8">
        <v>30</v>
      </c>
      <c r="P8" s="2">
        <f t="shared" si="4"/>
        <v>420</v>
      </c>
      <c r="Q8">
        <v>10</v>
      </c>
      <c r="R8">
        <v>30</v>
      </c>
      <c r="S8" s="2">
        <f t="shared" si="5"/>
        <v>300</v>
      </c>
      <c r="T8" s="2">
        <f t="shared" si="6"/>
        <v>120</v>
      </c>
      <c r="U8" s="2">
        <f t="shared" si="7"/>
        <v>2.2000000000000002</v>
      </c>
      <c r="V8" s="3">
        <f t="shared" si="8"/>
        <v>45.15720000000001</v>
      </c>
      <c r="W8" s="3">
        <f t="shared" si="9"/>
        <v>74.842799999999983</v>
      </c>
      <c r="X8">
        <f t="shared" si="10"/>
        <v>90</v>
      </c>
    </row>
    <row r="9" spans="1:24">
      <c r="A9" s="1">
        <v>7</v>
      </c>
      <c r="B9">
        <v>250</v>
      </c>
      <c r="C9">
        <v>1</v>
      </c>
      <c r="D9" s="2">
        <f t="shared" si="0"/>
        <v>250</v>
      </c>
      <c r="E9">
        <v>250</v>
      </c>
      <c r="F9">
        <v>1</v>
      </c>
      <c r="G9" s="2">
        <f t="shared" si="1"/>
        <v>250</v>
      </c>
      <c r="H9">
        <v>1.61</v>
      </c>
      <c r="I9">
        <v>1</v>
      </c>
      <c r="J9" s="2">
        <f t="shared" si="2"/>
        <v>1.61</v>
      </c>
      <c r="K9">
        <v>1.8</v>
      </c>
      <c r="L9">
        <v>1</v>
      </c>
      <c r="M9" s="2">
        <f t="shared" si="3"/>
        <v>1.8</v>
      </c>
      <c r="N9">
        <v>13</v>
      </c>
      <c r="O9">
        <v>20</v>
      </c>
      <c r="P9" s="2">
        <f t="shared" si="4"/>
        <v>260</v>
      </c>
      <c r="Q9">
        <v>9</v>
      </c>
      <c r="R9">
        <v>20</v>
      </c>
      <c r="S9" s="2">
        <f t="shared" si="5"/>
        <v>180</v>
      </c>
      <c r="T9" s="2">
        <f t="shared" si="6"/>
        <v>80</v>
      </c>
      <c r="U9" s="2">
        <f t="shared" si="7"/>
        <v>1.7050000000000001</v>
      </c>
      <c r="V9" s="3">
        <f t="shared" si="8"/>
        <v>27.122543250000003</v>
      </c>
      <c r="W9" s="3">
        <f t="shared" si="9"/>
        <v>52.877456749999993</v>
      </c>
      <c r="X9">
        <f t="shared" si="10"/>
        <v>62.5</v>
      </c>
    </row>
    <row r="10" spans="1:24">
      <c r="A10" s="1">
        <v>8</v>
      </c>
      <c r="B10">
        <v>200</v>
      </c>
      <c r="C10">
        <v>1</v>
      </c>
      <c r="D10" s="2">
        <f t="shared" si="0"/>
        <v>200</v>
      </c>
      <c r="E10">
        <v>200</v>
      </c>
      <c r="F10">
        <v>1</v>
      </c>
      <c r="G10" s="2">
        <f t="shared" si="1"/>
        <v>200</v>
      </c>
      <c r="H10">
        <v>1.22</v>
      </c>
      <c r="I10">
        <v>1</v>
      </c>
      <c r="J10" s="2">
        <f t="shared" si="2"/>
        <v>1.22</v>
      </c>
      <c r="K10">
        <v>1.34</v>
      </c>
      <c r="L10">
        <v>1</v>
      </c>
      <c r="M10" s="2">
        <f t="shared" si="3"/>
        <v>1.34</v>
      </c>
      <c r="N10">
        <v>8</v>
      </c>
      <c r="O10">
        <v>20</v>
      </c>
      <c r="P10" s="2">
        <f t="shared" si="4"/>
        <v>160</v>
      </c>
      <c r="Q10">
        <v>5</v>
      </c>
      <c r="R10">
        <v>20</v>
      </c>
      <c r="S10" s="2">
        <f t="shared" si="5"/>
        <v>100</v>
      </c>
      <c r="T10" s="2">
        <f t="shared" si="6"/>
        <v>60</v>
      </c>
      <c r="U10" s="2">
        <f t="shared" si="7"/>
        <v>1.28</v>
      </c>
      <c r="V10" s="3">
        <f t="shared" si="8"/>
        <v>15.286272</v>
      </c>
      <c r="W10" s="3">
        <f t="shared" si="9"/>
        <v>44.713728000000003</v>
      </c>
      <c r="X10">
        <f t="shared" si="10"/>
        <v>40</v>
      </c>
    </row>
    <row r="11" spans="1:24">
      <c r="A11" s="1">
        <v>9</v>
      </c>
      <c r="B11">
        <v>150</v>
      </c>
      <c r="C11">
        <v>1</v>
      </c>
      <c r="D11" s="2">
        <f t="shared" si="0"/>
        <v>150</v>
      </c>
      <c r="E11">
        <v>150</v>
      </c>
      <c r="F11">
        <v>1</v>
      </c>
      <c r="G11" s="2">
        <f t="shared" si="1"/>
        <v>150</v>
      </c>
      <c r="H11">
        <v>0.85</v>
      </c>
      <c r="I11">
        <v>1</v>
      </c>
      <c r="J11" s="2">
        <f t="shared" si="2"/>
        <v>0.85</v>
      </c>
      <c r="K11">
        <v>0.98</v>
      </c>
      <c r="L11">
        <v>1</v>
      </c>
      <c r="M11" s="2">
        <f t="shared" si="3"/>
        <v>0.98</v>
      </c>
      <c r="N11">
        <v>9</v>
      </c>
      <c r="O11">
        <v>10</v>
      </c>
      <c r="P11" s="2">
        <f t="shared" si="4"/>
        <v>90</v>
      </c>
      <c r="Q11">
        <v>5.5</v>
      </c>
      <c r="R11">
        <v>10</v>
      </c>
      <c r="S11" s="2">
        <f t="shared" si="5"/>
        <v>55</v>
      </c>
      <c r="T11" s="2">
        <f t="shared" si="6"/>
        <v>35</v>
      </c>
      <c r="U11" s="2">
        <f t="shared" si="7"/>
        <v>0.91500000000000004</v>
      </c>
      <c r="V11" s="3">
        <f t="shared" si="8"/>
        <v>7.8113092500000008</v>
      </c>
      <c r="W11" s="3">
        <f t="shared" si="9"/>
        <v>27.188690749999999</v>
      </c>
      <c r="X11">
        <f t="shared" si="10"/>
        <v>22.5</v>
      </c>
    </row>
    <row r="12" spans="1:24">
      <c r="A12" s="1">
        <v>10</v>
      </c>
      <c r="B12">
        <v>100</v>
      </c>
      <c r="C12">
        <v>1</v>
      </c>
      <c r="D12" s="2">
        <f t="shared" si="0"/>
        <v>100</v>
      </c>
      <c r="E12">
        <v>100</v>
      </c>
      <c r="F12">
        <v>1</v>
      </c>
      <c r="G12" s="2">
        <f t="shared" si="1"/>
        <v>100</v>
      </c>
      <c r="H12">
        <v>0.56000000000000005</v>
      </c>
      <c r="I12">
        <v>1</v>
      </c>
      <c r="J12" s="2">
        <f t="shared" si="2"/>
        <v>0.56000000000000005</v>
      </c>
      <c r="K12">
        <v>0.63</v>
      </c>
      <c r="L12">
        <v>1</v>
      </c>
      <c r="M12" s="2">
        <f t="shared" si="3"/>
        <v>0.63</v>
      </c>
      <c r="N12">
        <v>4</v>
      </c>
      <c r="O12">
        <v>10</v>
      </c>
      <c r="P12" s="2">
        <f t="shared" si="4"/>
        <v>40</v>
      </c>
      <c r="Q12">
        <v>2</v>
      </c>
      <c r="R12">
        <v>10</v>
      </c>
      <c r="S12" s="2">
        <f t="shared" si="5"/>
        <v>20</v>
      </c>
      <c r="T12" s="2">
        <f t="shared" si="6"/>
        <v>20</v>
      </c>
      <c r="U12" s="2">
        <f t="shared" si="7"/>
        <v>0.59499999999999997</v>
      </c>
      <c r="V12" s="3">
        <f t="shared" si="8"/>
        <v>3.3030532499999996</v>
      </c>
      <c r="W12" s="3">
        <f t="shared" si="9"/>
        <v>16.696946750000002</v>
      </c>
      <c r="X12">
        <f t="shared" si="10"/>
        <v>10</v>
      </c>
    </row>
    <row r="13" spans="1:24">
      <c r="A13" s="1">
        <v>11</v>
      </c>
      <c r="B13">
        <v>80</v>
      </c>
      <c r="C13">
        <v>1</v>
      </c>
      <c r="D13" s="2">
        <f t="shared" si="0"/>
        <v>80</v>
      </c>
      <c r="E13">
        <v>82</v>
      </c>
      <c r="F13">
        <v>1</v>
      </c>
      <c r="G13" s="2">
        <f t="shared" si="1"/>
        <v>82</v>
      </c>
      <c r="H13">
        <v>0.4</v>
      </c>
      <c r="I13">
        <v>1</v>
      </c>
      <c r="J13" s="2">
        <f t="shared" si="2"/>
        <v>0.4</v>
      </c>
      <c r="K13">
        <v>0.44</v>
      </c>
      <c r="L13">
        <v>1</v>
      </c>
      <c r="M13" s="2">
        <f t="shared" si="3"/>
        <v>0.44</v>
      </c>
      <c r="N13">
        <v>2.5</v>
      </c>
      <c r="O13">
        <v>10</v>
      </c>
      <c r="P13" s="2">
        <f t="shared" si="4"/>
        <v>25</v>
      </c>
      <c r="Q13">
        <v>0.5</v>
      </c>
      <c r="R13">
        <v>10</v>
      </c>
      <c r="S13" s="2">
        <f t="shared" si="5"/>
        <v>5</v>
      </c>
      <c r="T13" s="2">
        <f t="shared" si="6"/>
        <v>20</v>
      </c>
      <c r="U13" s="2">
        <f t="shared" si="7"/>
        <v>0.42000000000000004</v>
      </c>
      <c r="V13" s="3">
        <f t="shared" si="8"/>
        <v>1.6458120000000003</v>
      </c>
      <c r="W13" s="3">
        <f t="shared" si="9"/>
        <v>18.354188000000001</v>
      </c>
      <c r="X13">
        <f>81*81/1000</f>
        <v>6.5609999999999999</v>
      </c>
    </row>
    <row r="15" spans="1:24">
      <c r="A15" t="s">
        <v>12</v>
      </c>
      <c r="B15" s="2">
        <v>3.11</v>
      </c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>
      <selection activeCell="X8" sqref="X8"/>
    </sheetView>
  </sheetViews>
  <sheetFormatPr defaultRowHeight="15"/>
  <cols>
    <col min="1" max="1" width="5.140625" bestFit="1" customWidth="1"/>
    <col min="2" max="2" width="4" bestFit="1" customWidth="1"/>
    <col min="3" max="3" width="2" bestFit="1" customWidth="1"/>
    <col min="4" max="5" width="4" bestFit="1" customWidth="1"/>
    <col min="6" max="6" width="2" bestFit="1" customWidth="1"/>
    <col min="7" max="8" width="4" bestFit="1" customWidth="1"/>
    <col min="9" max="9" width="2" bestFit="1" customWidth="1"/>
    <col min="10" max="11" width="4" bestFit="1" customWidth="1"/>
    <col min="12" max="12" width="2" bestFit="1" customWidth="1"/>
    <col min="13" max="13" width="4" bestFit="1" customWidth="1"/>
    <col min="14" max="14" width="2.28515625" bestFit="1" customWidth="1"/>
    <col min="15" max="18" width="3" bestFit="1" customWidth="1"/>
    <col min="19" max="19" width="4" bestFit="1" customWidth="1"/>
    <col min="20" max="20" width="6.140625" bestFit="1" customWidth="1"/>
    <col min="21" max="21" width="5.28515625" bestFit="1" customWidth="1"/>
    <col min="22" max="22" width="6.5703125" bestFit="1" customWidth="1"/>
  </cols>
  <sheetData>
    <row r="1" spans="1:22">
      <c r="A1" s="5" t="s">
        <v>15</v>
      </c>
      <c r="B1" s="5" t="s">
        <v>16</v>
      </c>
      <c r="C1" s="5"/>
      <c r="D1" s="5"/>
      <c r="E1" s="5" t="s">
        <v>17</v>
      </c>
      <c r="F1" s="5"/>
      <c r="G1" s="5"/>
      <c r="H1" s="5" t="s">
        <v>18</v>
      </c>
      <c r="I1" s="5"/>
      <c r="J1" s="5"/>
      <c r="K1" s="5" t="s">
        <v>19</v>
      </c>
      <c r="L1" s="5"/>
      <c r="M1" s="5"/>
      <c r="N1" s="5" t="s">
        <v>20</v>
      </c>
      <c r="O1" s="5"/>
      <c r="P1" s="5"/>
      <c r="Q1" s="4" t="s">
        <v>21</v>
      </c>
      <c r="R1" s="4"/>
      <c r="S1" s="4"/>
      <c r="T1" s="1" t="s">
        <v>22</v>
      </c>
      <c r="U1" s="1" t="s">
        <v>23</v>
      </c>
      <c r="V1" s="1" t="s">
        <v>24</v>
      </c>
    </row>
    <row r="2" spans="1:22">
      <c r="A2" s="5"/>
      <c r="B2" s="1" t="s">
        <v>7</v>
      </c>
      <c r="C2" s="1" t="s">
        <v>8</v>
      </c>
      <c r="D2" s="1"/>
      <c r="E2" s="1" t="s">
        <v>7</v>
      </c>
      <c r="F2" s="1" t="s">
        <v>8</v>
      </c>
      <c r="G2" s="1"/>
      <c r="H2" s="1" t="s">
        <v>7</v>
      </c>
      <c r="I2" s="1" t="s">
        <v>8</v>
      </c>
      <c r="J2" s="1"/>
      <c r="K2" s="1" t="s">
        <v>7</v>
      </c>
      <c r="L2" s="1" t="s">
        <v>8</v>
      </c>
      <c r="M2" s="1"/>
      <c r="N2" s="1" t="s">
        <v>7</v>
      </c>
      <c r="O2" s="1" t="s">
        <v>8</v>
      </c>
      <c r="P2" s="1"/>
      <c r="Q2" s="1" t="s">
        <v>7</v>
      </c>
      <c r="R2" s="1" t="s">
        <v>8</v>
      </c>
      <c r="S2" s="1"/>
      <c r="T2" s="1"/>
      <c r="U2" s="1"/>
      <c r="V2" s="1"/>
    </row>
    <row r="3" spans="1:22">
      <c r="A3" s="1">
        <v>1</v>
      </c>
      <c r="B3">
        <v>30</v>
      </c>
      <c r="C3">
        <v>1</v>
      </c>
      <c r="D3" s="2">
        <f>B3*C3</f>
        <v>30</v>
      </c>
      <c r="E3">
        <v>30</v>
      </c>
      <c r="F3">
        <v>1</v>
      </c>
      <c r="G3" s="2">
        <f>E3*F3</f>
        <v>30</v>
      </c>
      <c r="H3">
        <v>1.5</v>
      </c>
      <c r="I3">
        <v>1</v>
      </c>
      <c r="J3" s="2">
        <f>H3*I3</f>
        <v>1.5</v>
      </c>
      <c r="K3">
        <v>1.5</v>
      </c>
      <c r="L3">
        <v>1</v>
      </c>
      <c r="M3" s="2">
        <f>K3*L3</f>
        <v>1.5</v>
      </c>
      <c r="N3">
        <v>0</v>
      </c>
      <c r="O3">
        <v>10</v>
      </c>
      <c r="P3" s="2">
        <f>N3*O3</f>
        <v>0</v>
      </c>
      <c r="Q3">
        <v>4</v>
      </c>
      <c r="R3">
        <v>10</v>
      </c>
      <c r="S3" s="2">
        <f>Q3*R3</f>
        <v>40</v>
      </c>
      <c r="T3" s="2">
        <f>(D3+G3)/2</f>
        <v>30</v>
      </c>
      <c r="U3" s="2">
        <f>(J3+M3)/2</f>
        <v>1.5</v>
      </c>
      <c r="V3" s="2">
        <f>P3+S3</f>
        <v>40</v>
      </c>
    </row>
    <row r="4" spans="1:22">
      <c r="A4" s="1">
        <v>2</v>
      </c>
      <c r="B4">
        <v>40</v>
      </c>
      <c r="C4">
        <v>1</v>
      </c>
      <c r="D4" s="2">
        <f t="shared" ref="D4:D8" si="0">B4*C4</f>
        <v>40</v>
      </c>
      <c r="E4">
        <v>40</v>
      </c>
      <c r="F4">
        <v>1</v>
      </c>
      <c r="G4" s="2">
        <f t="shared" ref="G4:G8" si="1">E4*F4</f>
        <v>40</v>
      </c>
      <c r="H4">
        <v>2.1</v>
      </c>
      <c r="I4">
        <v>1</v>
      </c>
      <c r="J4" s="2">
        <f t="shared" ref="J4:J8" si="2">H4*I4</f>
        <v>2.1</v>
      </c>
      <c r="K4">
        <v>2</v>
      </c>
      <c r="L4">
        <v>1</v>
      </c>
      <c r="M4" s="2">
        <f t="shared" ref="M4:M8" si="3">K4*L4</f>
        <v>2</v>
      </c>
      <c r="N4">
        <v>0</v>
      </c>
      <c r="O4">
        <v>10</v>
      </c>
      <c r="P4" s="2">
        <f t="shared" ref="P4:P8" si="4">N4*O4</f>
        <v>0</v>
      </c>
      <c r="Q4">
        <v>7</v>
      </c>
      <c r="R4">
        <v>10</v>
      </c>
      <c r="S4" s="2">
        <f t="shared" ref="S4:S8" si="5">Q4*R4</f>
        <v>70</v>
      </c>
      <c r="T4" s="2">
        <f t="shared" ref="T4:T8" si="6">(D4+G4)/2</f>
        <v>40</v>
      </c>
      <c r="U4" s="2">
        <f t="shared" ref="U4:U8" si="7">(J4+M4)/2</f>
        <v>2.0499999999999998</v>
      </c>
      <c r="V4" s="2">
        <f t="shared" ref="V4:V8" si="8">P4+S4</f>
        <v>70</v>
      </c>
    </row>
    <row r="5" spans="1:22">
      <c r="A5" s="1">
        <v>3</v>
      </c>
      <c r="B5">
        <v>58</v>
      </c>
      <c r="C5">
        <v>1</v>
      </c>
      <c r="D5" s="2">
        <f t="shared" si="0"/>
        <v>58</v>
      </c>
      <c r="E5">
        <v>57</v>
      </c>
      <c r="F5">
        <v>1</v>
      </c>
      <c r="G5" s="2">
        <f t="shared" si="1"/>
        <v>57</v>
      </c>
      <c r="H5">
        <v>3</v>
      </c>
      <c r="I5">
        <v>1</v>
      </c>
      <c r="J5" s="2">
        <f t="shared" si="2"/>
        <v>3</v>
      </c>
      <c r="K5">
        <v>3</v>
      </c>
      <c r="L5">
        <v>1</v>
      </c>
      <c r="M5" s="2">
        <f t="shared" si="3"/>
        <v>3</v>
      </c>
      <c r="N5">
        <v>0</v>
      </c>
      <c r="O5">
        <v>10</v>
      </c>
      <c r="P5" s="2">
        <f t="shared" si="4"/>
        <v>0</v>
      </c>
      <c r="Q5">
        <v>15</v>
      </c>
      <c r="R5">
        <v>10</v>
      </c>
      <c r="S5" s="2">
        <f t="shared" si="5"/>
        <v>150</v>
      </c>
      <c r="T5" s="2">
        <f t="shared" si="6"/>
        <v>57.5</v>
      </c>
      <c r="U5" s="2">
        <f t="shared" si="7"/>
        <v>3</v>
      </c>
      <c r="V5" s="2">
        <f t="shared" si="8"/>
        <v>150</v>
      </c>
    </row>
    <row r="6" spans="1:22">
      <c r="A6" s="1">
        <v>4</v>
      </c>
      <c r="B6">
        <v>76</v>
      </c>
      <c r="C6">
        <v>1</v>
      </c>
      <c r="D6" s="2">
        <f t="shared" si="0"/>
        <v>76</v>
      </c>
      <c r="E6">
        <v>76</v>
      </c>
      <c r="F6">
        <v>1</v>
      </c>
      <c r="G6" s="2">
        <f t="shared" si="1"/>
        <v>76</v>
      </c>
      <c r="H6">
        <v>4.0999999999999996</v>
      </c>
      <c r="I6">
        <v>1</v>
      </c>
      <c r="J6" s="2">
        <f t="shared" si="2"/>
        <v>4.0999999999999996</v>
      </c>
      <c r="K6">
        <v>4</v>
      </c>
      <c r="L6">
        <v>1</v>
      </c>
      <c r="M6" s="2">
        <f t="shared" si="3"/>
        <v>4</v>
      </c>
      <c r="N6">
        <v>1</v>
      </c>
      <c r="O6">
        <v>10</v>
      </c>
      <c r="P6" s="2">
        <f t="shared" si="4"/>
        <v>10</v>
      </c>
      <c r="Q6">
        <v>28</v>
      </c>
      <c r="R6">
        <v>10</v>
      </c>
      <c r="S6" s="2">
        <f t="shared" si="5"/>
        <v>280</v>
      </c>
      <c r="T6" s="2">
        <f t="shared" si="6"/>
        <v>76</v>
      </c>
      <c r="U6" s="2">
        <f t="shared" si="7"/>
        <v>4.05</v>
      </c>
      <c r="V6" s="2">
        <f t="shared" si="8"/>
        <v>290</v>
      </c>
    </row>
    <row r="7" spans="1:22">
      <c r="A7" s="1">
        <v>5</v>
      </c>
      <c r="B7">
        <v>92</v>
      </c>
      <c r="C7">
        <v>1</v>
      </c>
      <c r="D7" s="2">
        <f t="shared" si="0"/>
        <v>92</v>
      </c>
      <c r="E7">
        <v>91</v>
      </c>
      <c r="F7">
        <v>1</v>
      </c>
      <c r="G7" s="2">
        <f t="shared" si="1"/>
        <v>91</v>
      </c>
      <c r="H7">
        <v>5</v>
      </c>
      <c r="I7">
        <v>1</v>
      </c>
      <c r="J7" s="2">
        <f t="shared" si="2"/>
        <v>5</v>
      </c>
      <c r="K7">
        <v>4.9000000000000004</v>
      </c>
      <c r="L7">
        <v>1</v>
      </c>
      <c r="M7" s="2">
        <f t="shared" si="3"/>
        <v>4.9000000000000004</v>
      </c>
      <c r="N7">
        <v>1</v>
      </c>
      <c r="O7">
        <v>10</v>
      </c>
      <c r="P7" s="2">
        <f t="shared" si="4"/>
        <v>10</v>
      </c>
      <c r="Q7">
        <v>41</v>
      </c>
      <c r="R7">
        <v>10</v>
      </c>
      <c r="S7" s="2">
        <f t="shared" si="5"/>
        <v>410</v>
      </c>
      <c r="T7" s="2">
        <f t="shared" si="6"/>
        <v>91.5</v>
      </c>
      <c r="U7" s="2">
        <f t="shared" si="7"/>
        <v>4.95</v>
      </c>
      <c r="V7" s="2">
        <f t="shared" si="8"/>
        <v>420</v>
      </c>
    </row>
    <row r="8" spans="1:22">
      <c r="A8" s="1">
        <v>6</v>
      </c>
      <c r="B8">
        <v>112</v>
      </c>
      <c r="C8">
        <v>1</v>
      </c>
      <c r="D8" s="2">
        <f t="shared" si="0"/>
        <v>112</v>
      </c>
      <c r="E8">
        <v>110</v>
      </c>
      <c r="F8">
        <v>1</v>
      </c>
      <c r="G8" s="2">
        <f t="shared" si="1"/>
        <v>110</v>
      </c>
      <c r="H8">
        <v>6</v>
      </c>
      <c r="I8">
        <v>1</v>
      </c>
      <c r="J8" s="2">
        <f t="shared" si="2"/>
        <v>6</v>
      </c>
      <c r="K8">
        <v>6</v>
      </c>
      <c r="L8">
        <v>1</v>
      </c>
      <c r="M8" s="2">
        <f t="shared" si="3"/>
        <v>6</v>
      </c>
      <c r="N8">
        <v>3</v>
      </c>
      <c r="O8">
        <v>10</v>
      </c>
      <c r="P8" s="2">
        <f t="shared" si="4"/>
        <v>30</v>
      </c>
      <c r="Q8">
        <v>61</v>
      </c>
      <c r="R8">
        <v>10</v>
      </c>
      <c r="S8" s="2">
        <f t="shared" si="5"/>
        <v>610</v>
      </c>
      <c r="T8" s="2">
        <f t="shared" si="6"/>
        <v>111</v>
      </c>
      <c r="U8" s="2">
        <f t="shared" si="7"/>
        <v>6</v>
      </c>
      <c r="V8" s="2">
        <f t="shared" si="8"/>
        <v>640</v>
      </c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</vt:lpstr>
      <vt:lpstr>KS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2020-06-10T18:42:30Z</dcterms:modified>
</cp:coreProperties>
</file>