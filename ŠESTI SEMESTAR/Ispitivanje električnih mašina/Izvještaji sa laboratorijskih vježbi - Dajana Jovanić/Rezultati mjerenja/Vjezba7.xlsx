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K4" i="1"/>
  <c r="AK5"/>
  <c r="AK6"/>
  <c r="AK7"/>
  <c r="AK8"/>
  <c r="AK9"/>
  <c r="AK10"/>
  <c r="AK3"/>
  <c r="AI3"/>
  <c r="AL4"/>
  <c r="AL5"/>
  <c r="AL6"/>
  <c r="AL7"/>
  <c r="AL8"/>
  <c r="AL9"/>
  <c r="AL10"/>
  <c r="AL3"/>
  <c r="AJ4"/>
  <c r="AJ5"/>
  <c r="AJ6"/>
  <c r="AJ7"/>
  <c r="AJ8"/>
  <c r="AJ9"/>
  <c r="AJ10"/>
  <c r="AJ3"/>
  <c r="AI4"/>
  <c r="AI5"/>
  <c r="AI6"/>
  <c r="AI7"/>
  <c r="AI8"/>
  <c r="AI9"/>
  <c r="AI10"/>
  <c r="AH4"/>
  <c r="AH5"/>
  <c r="AH6"/>
  <c r="AH7"/>
  <c r="AH8"/>
  <c r="AH9"/>
  <c r="AH10"/>
  <c r="AH3"/>
  <c r="AE4"/>
  <c r="AE5"/>
  <c r="AE6"/>
  <c r="AE7"/>
  <c r="AE8"/>
  <c r="AE9"/>
  <c r="AE10"/>
  <c r="AE3"/>
  <c r="AB4"/>
  <c r="AB5"/>
  <c r="AB6"/>
  <c r="AB7"/>
  <c r="AB8"/>
  <c r="AB9"/>
  <c r="AB10"/>
  <c r="AB3"/>
  <c r="Y4"/>
  <c r="Y5"/>
  <c r="Y6"/>
  <c r="Y7"/>
  <c r="Y8"/>
  <c r="Y9"/>
  <c r="Y10"/>
  <c r="Y3"/>
  <c r="V4"/>
  <c r="V5"/>
  <c r="V6"/>
  <c r="V7"/>
  <c r="V8"/>
  <c r="V9"/>
  <c r="V10"/>
  <c r="V3"/>
  <c r="S4"/>
  <c r="S5"/>
  <c r="S6"/>
  <c r="S7"/>
  <c r="S8"/>
  <c r="S9"/>
  <c r="S10"/>
  <c r="S3"/>
  <c r="P4"/>
  <c r="P5"/>
  <c r="P6"/>
  <c r="P7"/>
  <c r="P8"/>
  <c r="P9"/>
  <c r="P10"/>
  <c r="P3"/>
  <c r="M4"/>
  <c r="M5"/>
  <c r="M6"/>
  <c r="M7"/>
  <c r="M8"/>
  <c r="M9"/>
  <c r="M10"/>
  <c r="M3"/>
  <c r="J4"/>
  <c r="J5"/>
  <c r="J6"/>
  <c r="J7"/>
  <c r="J8"/>
  <c r="J9"/>
  <c r="J10"/>
  <c r="J3"/>
  <c r="G4"/>
  <c r="G5"/>
  <c r="G6"/>
  <c r="G7"/>
  <c r="G8"/>
  <c r="G9"/>
  <c r="G10"/>
  <c r="G3"/>
  <c r="D4"/>
  <c r="D5"/>
  <c r="D6"/>
  <c r="D7"/>
  <c r="D8"/>
  <c r="D9"/>
  <c r="D10"/>
  <c r="D3"/>
</calcChain>
</file>

<file path=xl/sharedStrings.xml><?xml version="1.0" encoding="utf-8"?>
<sst xmlns="http://schemas.openxmlformats.org/spreadsheetml/2006/main" count="38" uniqueCount="17">
  <si>
    <t>RBM</t>
  </si>
  <si>
    <t>Ufa0'[V]</t>
  </si>
  <si>
    <t>Ufb0'[V]</t>
  </si>
  <si>
    <t>Ufc0'[V]</t>
  </si>
  <si>
    <t>Uf0'[V]</t>
  </si>
  <si>
    <t>Uf0''[V]</t>
  </si>
  <si>
    <t>Pa0[W]</t>
  </si>
  <si>
    <t>Pb0[W]</t>
  </si>
  <si>
    <t>Pc0[W]</t>
  </si>
  <si>
    <t>Ifa0'[A]</t>
  </si>
  <si>
    <t>Ifb0'[A]</t>
  </si>
  <si>
    <t>Ifc0'[A]</t>
  </si>
  <si>
    <t>α</t>
  </si>
  <si>
    <t>k</t>
  </si>
  <si>
    <t>If0'[A]</t>
  </si>
  <si>
    <t>P0[W]</t>
  </si>
  <si>
    <t>mt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</si>
</sst>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"/>
  <sheetViews>
    <sheetView tabSelected="1" workbookViewId="0">
      <selection activeCell="AB19" sqref="AB19"/>
    </sheetView>
  </sheetViews>
  <sheetFormatPr defaultRowHeight="15"/>
  <cols>
    <col min="1" max="1" width="5.140625" bestFit="1" customWidth="1"/>
    <col min="2" max="2" width="6" bestFit="1" customWidth="1"/>
    <col min="3" max="3" width="2" bestFit="1" customWidth="1"/>
    <col min="4" max="5" width="6" bestFit="1" customWidth="1"/>
    <col min="6" max="6" width="2" bestFit="1" customWidth="1"/>
    <col min="7" max="8" width="6" bestFit="1" customWidth="1"/>
    <col min="9" max="9" width="2" bestFit="1" customWidth="1"/>
    <col min="10" max="10" width="6" bestFit="1" customWidth="1"/>
    <col min="11" max="11" width="4" bestFit="1" customWidth="1"/>
    <col min="12" max="12" width="2" bestFit="1" customWidth="1"/>
    <col min="13" max="14" width="4" bestFit="1" customWidth="1"/>
    <col min="15" max="15" width="2" bestFit="1" customWidth="1"/>
    <col min="16" max="16" width="4" bestFit="1" customWidth="1"/>
    <col min="17" max="17" width="2.28515625" bestFit="1" customWidth="1"/>
    <col min="18" max="19" width="2" bestFit="1" customWidth="1"/>
    <col min="20" max="20" width="3" bestFit="1" customWidth="1"/>
    <col min="21" max="21" width="2" bestFit="1" customWidth="1"/>
    <col min="22" max="23" width="3" bestFit="1" customWidth="1"/>
    <col min="24" max="24" width="2" bestFit="1" customWidth="1"/>
    <col min="25" max="25" width="3" bestFit="1" customWidth="1"/>
    <col min="26" max="26" width="6" bestFit="1" customWidth="1"/>
    <col min="27" max="27" width="2" bestFit="1" customWidth="1"/>
    <col min="28" max="29" width="6" bestFit="1" customWidth="1"/>
    <col min="30" max="30" width="2" bestFit="1" customWidth="1"/>
    <col min="31" max="32" width="6" bestFit="1" customWidth="1"/>
    <col min="33" max="33" width="2" bestFit="1" customWidth="1"/>
    <col min="34" max="34" width="6" bestFit="1" customWidth="1"/>
  </cols>
  <sheetData>
    <row r="1" spans="1:38">
      <c r="A1" s="5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  <c r="K1" s="4" t="s">
        <v>4</v>
      </c>
      <c r="L1" s="4"/>
      <c r="M1" s="4"/>
      <c r="N1" s="4" t="s">
        <v>5</v>
      </c>
      <c r="O1" s="4"/>
      <c r="P1" s="4"/>
      <c r="Q1" s="4" t="s">
        <v>6</v>
      </c>
      <c r="R1" s="4"/>
      <c r="S1" s="4"/>
      <c r="T1" s="4" t="s">
        <v>7</v>
      </c>
      <c r="U1" s="4"/>
      <c r="V1" s="4"/>
      <c r="W1" s="4" t="s">
        <v>8</v>
      </c>
      <c r="X1" s="4"/>
      <c r="Y1" s="4"/>
      <c r="Z1" s="4" t="s">
        <v>9</v>
      </c>
      <c r="AA1" s="4"/>
      <c r="AB1" s="4"/>
      <c r="AC1" s="4" t="s">
        <v>10</v>
      </c>
      <c r="AD1" s="4"/>
      <c r="AE1" s="4"/>
      <c r="AF1" s="4" t="s">
        <v>11</v>
      </c>
      <c r="AG1" s="4"/>
      <c r="AH1" s="4"/>
      <c r="AI1" s="1" t="s">
        <v>4</v>
      </c>
      <c r="AJ1" s="1" t="s">
        <v>14</v>
      </c>
      <c r="AK1" s="1" t="s">
        <v>15</v>
      </c>
      <c r="AL1" s="1" t="s">
        <v>16</v>
      </c>
    </row>
    <row r="2" spans="1:38">
      <c r="A2" s="5"/>
      <c r="B2" s="1" t="s">
        <v>12</v>
      </c>
      <c r="C2" s="1" t="s">
        <v>13</v>
      </c>
      <c r="D2" s="1"/>
      <c r="E2" s="1" t="s">
        <v>12</v>
      </c>
      <c r="F2" s="1" t="s">
        <v>13</v>
      </c>
      <c r="G2" s="1"/>
      <c r="H2" s="1" t="s">
        <v>12</v>
      </c>
      <c r="I2" s="1" t="s">
        <v>13</v>
      </c>
      <c r="J2" s="1"/>
      <c r="K2" s="1" t="s">
        <v>12</v>
      </c>
      <c r="L2" s="1" t="s">
        <v>13</v>
      </c>
      <c r="M2" s="1"/>
      <c r="N2" s="1" t="s">
        <v>12</v>
      </c>
      <c r="O2" s="1" t="s">
        <v>13</v>
      </c>
      <c r="P2" s="1"/>
      <c r="Q2" s="1" t="s">
        <v>12</v>
      </c>
      <c r="R2" s="1" t="s">
        <v>13</v>
      </c>
      <c r="S2" s="1"/>
      <c r="T2" s="1" t="s">
        <v>12</v>
      </c>
      <c r="U2" s="1" t="s">
        <v>13</v>
      </c>
      <c r="V2" s="1"/>
      <c r="W2" s="1" t="s">
        <v>12</v>
      </c>
      <c r="X2" s="1" t="s">
        <v>13</v>
      </c>
      <c r="Y2" s="1"/>
      <c r="Z2" s="1" t="s">
        <v>12</v>
      </c>
      <c r="AA2" s="1" t="s">
        <v>13</v>
      </c>
      <c r="AB2" s="1"/>
      <c r="AC2" s="1" t="s">
        <v>12</v>
      </c>
      <c r="AD2" s="1" t="s">
        <v>13</v>
      </c>
      <c r="AE2" s="1"/>
      <c r="AF2" s="1" t="s">
        <v>12</v>
      </c>
      <c r="AG2" s="1" t="s">
        <v>13</v>
      </c>
      <c r="AH2" s="1"/>
    </row>
    <row r="3" spans="1:38">
      <c r="A3" s="1">
        <v>1</v>
      </c>
      <c r="B3">
        <v>60.7</v>
      </c>
      <c r="C3">
        <v>1</v>
      </c>
      <c r="D3" s="2">
        <f>B3*C3</f>
        <v>60.7</v>
      </c>
      <c r="E3">
        <v>60</v>
      </c>
      <c r="F3">
        <v>1</v>
      </c>
      <c r="G3" s="2">
        <f>E3*F3</f>
        <v>60</v>
      </c>
      <c r="H3">
        <v>60.5</v>
      </c>
      <c r="I3">
        <v>1</v>
      </c>
      <c r="J3" s="2">
        <f>H3*I3</f>
        <v>60.5</v>
      </c>
      <c r="K3">
        <v>58</v>
      </c>
      <c r="L3">
        <v>1</v>
      </c>
      <c r="M3" s="2">
        <f>K3*L3</f>
        <v>58</v>
      </c>
      <c r="N3">
        <v>46</v>
      </c>
      <c r="O3">
        <v>1</v>
      </c>
      <c r="P3" s="2">
        <f>N3*O3</f>
        <v>46</v>
      </c>
      <c r="Q3">
        <v>0</v>
      </c>
      <c r="R3">
        <v>1</v>
      </c>
      <c r="S3" s="2">
        <f>Q3*R3</f>
        <v>0</v>
      </c>
      <c r="T3">
        <v>0</v>
      </c>
      <c r="U3">
        <v>1</v>
      </c>
      <c r="V3" s="2">
        <f>T3*U3</f>
        <v>0</v>
      </c>
      <c r="W3">
        <v>1</v>
      </c>
      <c r="X3">
        <v>1</v>
      </c>
      <c r="Y3" s="2">
        <f>W3*X3</f>
        <v>1</v>
      </c>
      <c r="Z3">
        <v>3.3000000000000002E-2</v>
      </c>
      <c r="AA3">
        <v>1</v>
      </c>
      <c r="AB3" s="2">
        <f>Z3*AA3</f>
        <v>3.3000000000000002E-2</v>
      </c>
      <c r="AC3">
        <v>2.5000000000000001E-2</v>
      </c>
      <c r="AD3">
        <v>1</v>
      </c>
      <c r="AE3" s="2">
        <f>AC3*AD3</f>
        <v>2.5000000000000001E-2</v>
      </c>
      <c r="AF3">
        <v>3.5999999999999997E-2</v>
      </c>
      <c r="AG3">
        <v>1</v>
      </c>
      <c r="AH3" s="2">
        <f>AF3*AG3</f>
        <v>3.5999999999999997E-2</v>
      </c>
      <c r="AI3" s="3">
        <f>(D3+G3+J3)/3</f>
        <v>60.4</v>
      </c>
      <c r="AJ3" s="3">
        <f>(AB3+AE3+AH3)/3</f>
        <v>3.1333333333333331E-2</v>
      </c>
      <c r="AK3" s="3">
        <f>(S3+V3+Y3)</f>
        <v>1</v>
      </c>
      <c r="AL3" s="3">
        <f>M3/P3</f>
        <v>1.2608695652173914</v>
      </c>
    </row>
    <row r="4" spans="1:38">
      <c r="A4" s="1">
        <v>2</v>
      </c>
      <c r="B4">
        <v>89</v>
      </c>
      <c r="C4">
        <v>1</v>
      </c>
      <c r="D4" s="2">
        <f t="shared" ref="D4:D10" si="0">B4*C4</f>
        <v>89</v>
      </c>
      <c r="E4">
        <v>88.4</v>
      </c>
      <c r="F4">
        <v>1</v>
      </c>
      <c r="G4" s="2">
        <f t="shared" ref="G4:G10" si="1">E4*F4</f>
        <v>88.4</v>
      </c>
      <c r="H4">
        <v>88.8</v>
      </c>
      <c r="I4">
        <v>1</v>
      </c>
      <c r="J4" s="2">
        <f t="shared" ref="J4:J10" si="2">H4*I4</f>
        <v>88.8</v>
      </c>
      <c r="K4">
        <v>86</v>
      </c>
      <c r="L4">
        <v>1</v>
      </c>
      <c r="M4" s="2">
        <f t="shared" ref="M4:M10" si="3">K4*L4</f>
        <v>86</v>
      </c>
      <c r="N4">
        <v>69</v>
      </c>
      <c r="O4">
        <v>1</v>
      </c>
      <c r="P4" s="2">
        <f t="shared" ref="P4:P10" si="4">N4*O4</f>
        <v>69</v>
      </c>
      <c r="Q4">
        <v>1</v>
      </c>
      <c r="R4">
        <v>1</v>
      </c>
      <c r="S4" s="2">
        <f t="shared" ref="S4:S10" si="5">Q4*R4</f>
        <v>1</v>
      </c>
      <c r="T4">
        <v>1</v>
      </c>
      <c r="U4">
        <v>1</v>
      </c>
      <c r="V4" s="2">
        <f t="shared" ref="V4:V10" si="6">T4*U4</f>
        <v>1</v>
      </c>
      <c r="W4">
        <v>3</v>
      </c>
      <c r="X4">
        <v>1</v>
      </c>
      <c r="Y4" s="2">
        <f t="shared" ref="Y4:Y10" si="7">W4*X4</f>
        <v>3</v>
      </c>
      <c r="Z4">
        <v>4.3999999999999997E-2</v>
      </c>
      <c r="AA4">
        <v>1</v>
      </c>
      <c r="AB4" s="2">
        <f t="shared" ref="AB4:AB10" si="8">Z4*AA4</f>
        <v>4.3999999999999997E-2</v>
      </c>
      <c r="AC4">
        <v>3.5000000000000003E-2</v>
      </c>
      <c r="AD4">
        <v>1</v>
      </c>
      <c r="AE4" s="2">
        <f t="shared" ref="AE4:AE10" si="9">AC4*AD4</f>
        <v>3.5000000000000003E-2</v>
      </c>
      <c r="AF4">
        <v>4.8000000000000001E-2</v>
      </c>
      <c r="AG4">
        <v>1</v>
      </c>
      <c r="AH4" s="2">
        <f t="shared" ref="AH4:AH10" si="10">AF4*AG4</f>
        <v>4.8000000000000001E-2</v>
      </c>
      <c r="AI4" s="3">
        <f t="shared" ref="AI4:AI10" si="11">(D4+G4+J4)/3</f>
        <v>88.733333333333334</v>
      </c>
      <c r="AJ4" s="3">
        <f t="shared" ref="AJ4:AJ10" si="12">(AB4+AE4+AH4)/3</f>
        <v>4.2333333333333334E-2</v>
      </c>
      <c r="AK4" s="3">
        <f t="shared" ref="AK4:AK10" si="13">(S4+V4+Y4)</f>
        <v>5</v>
      </c>
      <c r="AL4" s="3">
        <f t="shared" ref="AL4:AL10" si="14">M4/P4</f>
        <v>1.2463768115942029</v>
      </c>
    </row>
    <row r="5" spans="1:38">
      <c r="A5" s="1">
        <v>3</v>
      </c>
      <c r="B5">
        <v>118</v>
      </c>
      <c r="C5">
        <v>1</v>
      </c>
      <c r="D5" s="2">
        <f t="shared" si="0"/>
        <v>118</v>
      </c>
      <c r="E5">
        <v>117.4</v>
      </c>
      <c r="F5">
        <v>1</v>
      </c>
      <c r="G5" s="2">
        <f t="shared" si="1"/>
        <v>117.4</v>
      </c>
      <c r="H5">
        <v>118</v>
      </c>
      <c r="I5">
        <v>1</v>
      </c>
      <c r="J5" s="2">
        <f t="shared" si="2"/>
        <v>118</v>
      </c>
      <c r="K5">
        <v>115</v>
      </c>
      <c r="L5">
        <v>1</v>
      </c>
      <c r="M5" s="2">
        <f t="shared" si="3"/>
        <v>115</v>
      </c>
      <c r="N5">
        <v>92</v>
      </c>
      <c r="O5">
        <v>1</v>
      </c>
      <c r="P5" s="2">
        <f t="shared" si="4"/>
        <v>92</v>
      </c>
      <c r="Q5">
        <v>3</v>
      </c>
      <c r="R5">
        <v>1</v>
      </c>
      <c r="S5" s="2">
        <f t="shared" si="5"/>
        <v>3</v>
      </c>
      <c r="T5">
        <v>3</v>
      </c>
      <c r="U5">
        <v>1</v>
      </c>
      <c r="V5" s="2">
        <f t="shared" si="6"/>
        <v>3</v>
      </c>
      <c r="W5">
        <v>5</v>
      </c>
      <c r="X5">
        <v>1</v>
      </c>
      <c r="Y5" s="2">
        <f t="shared" si="7"/>
        <v>5</v>
      </c>
      <c r="Z5">
        <v>0.06</v>
      </c>
      <c r="AA5">
        <v>1</v>
      </c>
      <c r="AB5" s="2">
        <f t="shared" si="8"/>
        <v>0.06</v>
      </c>
      <c r="AC5">
        <v>4.4999999999999998E-2</v>
      </c>
      <c r="AD5">
        <v>1</v>
      </c>
      <c r="AE5" s="2">
        <f t="shared" si="9"/>
        <v>4.4999999999999998E-2</v>
      </c>
      <c r="AF5">
        <v>6.4000000000000001E-2</v>
      </c>
      <c r="AG5">
        <v>1</v>
      </c>
      <c r="AH5" s="2">
        <f t="shared" si="10"/>
        <v>6.4000000000000001E-2</v>
      </c>
      <c r="AI5" s="3">
        <f t="shared" si="11"/>
        <v>117.8</v>
      </c>
      <c r="AJ5" s="3">
        <f t="shared" si="12"/>
        <v>5.6333333333333326E-2</v>
      </c>
      <c r="AK5" s="3">
        <f t="shared" si="13"/>
        <v>11</v>
      </c>
      <c r="AL5" s="3">
        <f t="shared" si="14"/>
        <v>1.25</v>
      </c>
    </row>
    <row r="6" spans="1:38">
      <c r="A6" s="1">
        <v>4</v>
      </c>
      <c r="B6">
        <v>146.6</v>
      </c>
      <c r="C6">
        <v>1</v>
      </c>
      <c r="D6" s="2">
        <f t="shared" si="0"/>
        <v>146.6</v>
      </c>
      <c r="E6">
        <v>146</v>
      </c>
      <c r="F6">
        <v>1</v>
      </c>
      <c r="G6" s="2">
        <f t="shared" si="1"/>
        <v>146</v>
      </c>
      <c r="H6">
        <v>146</v>
      </c>
      <c r="I6">
        <v>1</v>
      </c>
      <c r="J6" s="2">
        <f t="shared" si="2"/>
        <v>146</v>
      </c>
      <c r="K6">
        <v>143</v>
      </c>
      <c r="L6">
        <v>1</v>
      </c>
      <c r="M6" s="2">
        <f t="shared" si="3"/>
        <v>143</v>
      </c>
      <c r="N6">
        <v>115</v>
      </c>
      <c r="O6">
        <v>1</v>
      </c>
      <c r="P6" s="2">
        <f t="shared" si="4"/>
        <v>115</v>
      </c>
      <c r="Q6">
        <v>5</v>
      </c>
      <c r="R6">
        <v>1</v>
      </c>
      <c r="S6" s="2">
        <f t="shared" si="5"/>
        <v>5</v>
      </c>
      <c r="T6">
        <v>5</v>
      </c>
      <c r="U6">
        <v>1</v>
      </c>
      <c r="V6" s="2">
        <f t="shared" si="6"/>
        <v>5</v>
      </c>
      <c r="W6">
        <v>9</v>
      </c>
      <c r="X6">
        <v>1</v>
      </c>
      <c r="Y6" s="2">
        <f t="shared" si="7"/>
        <v>9</v>
      </c>
      <c r="Z6">
        <v>7.8E-2</v>
      </c>
      <c r="AA6">
        <v>1</v>
      </c>
      <c r="AB6" s="2">
        <f t="shared" si="8"/>
        <v>7.8E-2</v>
      </c>
      <c r="AC6">
        <v>5.7000000000000002E-2</v>
      </c>
      <c r="AD6">
        <v>1</v>
      </c>
      <c r="AE6" s="2">
        <f t="shared" si="9"/>
        <v>5.7000000000000002E-2</v>
      </c>
      <c r="AF6">
        <v>8.4000000000000005E-2</v>
      </c>
      <c r="AG6">
        <v>1</v>
      </c>
      <c r="AH6" s="2">
        <f t="shared" si="10"/>
        <v>8.4000000000000005E-2</v>
      </c>
      <c r="AI6" s="3">
        <f t="shared" si="11"/>
        <v>146.20000000000002</v>
      </c>
      <c r="AJ6" s="3">
        <f t="shared" si="12"/>
        <v>7.3000000000000009E-2</v>
      </c>
      <c r="AK6" s="3">
        <f t="shared" si="13"/>
        <v>19</v>
      </c>
      <c r="AL6" s="3">
        <f t="shared" si="14"/>
        <v>1.2434782608695651</v>
      </c>
    </row>
    <row r="7" spans="1:38">
      <c r="A7" s="1">
        <v>5</v>
      </c>
      <c r="B7">
        <v>174.9</v>
      </c>
      <c r="C7">
        <v>1</v>
      </c>
      <c r="D7" s="2">
        <f t="shared" si="0"/>
        <v>174.9</v>
      </c>
      <c r="E7">
        <v>174.4</v>
      </c>
      <c r="F7">
        <v>1</v>
      </c>
      <c r="G7" s="2">
        <f t="shared" si="1"/>
        <v>174.4</v>
      </c>
      <c r="H7">
        <v>174.7</v>
      </c>
      <c r="I7">
        <v>1</v>
      </c>
      <c r="J7" s="2">
        <f t="shared" si="2"/>
        <v>174.7</v>
      </c>
      <c r="K7">
        <v>172</v>
      </c>
      <c r="L7">
        <v>1</v>
      </c>
      <c r="M7" s="2">
        <f t="shared" si="3"/>
        <v>172</v>
      </c>
      <c r="N7">
        <v>137</v>
      </c>
      <c r="O7">
        <v>1</v>
      </c>
      <c r="P7" s="2">
        <f t="shared" si="4"/>
        <v>137</v>
      </c>
      <c r="Q7">
        <v>6</v>
      </c>
      <c r="R7">
        <v>1</v>
      </c>
      <c r="S7" s="2">
        <f t="shared" si="5"/>
        <v>6</v>
      </c>
      <c r="T7">
        <v>8</v>
      </c>
      <c r="U7">
        <v>1</v>
      </c>
      <c r="V7" s="2">
        <f t="shared" si="6"/>
        <v>8</v>
      </c>
      <c r="W7">
        <v>13</v>
      </c>
      <c r="X7">
        <v>1</v>
      </c>
      <c r="Y7" s="2">
        <f t="shared" si="7"/>
        <v>13</v>
      </c>
      <c r="Z7">
        <v>0.10199999999999999</v>
      </c>
      <c r="AA7">
        <v>1</v>
      </c>
      <c r="AB7" s="2">
        <f t="shared" si="8"/>
        <v>0.10199999999999999</v>
      </c>
      <c r="AC7">
        <v>7.6999999999999999E-2</v>
      </c>
      <c r="AD7">
        <v>1</v>
      </c>
      <c r="AE7" s="2">
        <f t="shared" si="9"/>
        <v>7.6999999999999999E-2</v>
      </c>
      <c r="AF7">
        <v>0.11600000000000001</v>
      </c>
      <c r="AG7">
        <v>1</v>
      </c>
      <c r="AH7" s="2">
        <f t="shared" si="10"/>
        <v>0.11600000000000001</v>
      </c>
      <c r="AI7" s="3">
        <f t="shared" si="11"/>
        <v>174.66666666666666</v>
      </c>
      <c r="AJ7" s="3">
        <f t="shared" si="12"/>
        <v>9.8333333333333328E-2</v>
      </c>
      <c r="AK7" s="3">
        <f t="shared" si="13"/>
        <v>27</v>
      </c>
      <c r="AL7" s="3">
        <f t="shared" si="14"/>
        <v>1.2554744525547445</v>
      </c>
    </row>
    <row r="8" spans="1:38">
      <c r="A8" s="1">
        <v>6</v>
      </c>
      <c r="B8">
        <v>205.3</v>
      </c>
      <c r="C8">
        <v>1</v>
      </c>
      <c r="D8" s="2">
        <f t="shared" si="0"/>
        <v>205.3</v>
      </c>
      <c r="E8">
        <v>204.8</v>
      </c>
      <c r="F8">
        <v>1</v>
      </c>
      <c r="G8" s="2">
        <f t="shared" si="1"/>
        <v>204.8</v>
      </c>
      <c r="H8">
        <v>204.7</v>
      </c>
      <c r="I8">
        <v>1</v>
      </c>
      <c r="J8" s="2">
        <f t="shared" si="2"/>
        <v>204.7</v>
      </c>
      <c r="K8">
        <v>202</v>
      </c>
      <c r="L8">
        <v>1</v>
      </c>
      <c r="M8" s="2">
        <f t="shared" si="3"/>
        <v>202</v>
      </c>
      <c r="N8">
        <v>162</v>
      </c>
      <c r="O8">
        <v>1</v>
      </c>
      <c r="P8" s="2">
        <f t="shared" si="4"/>
        <v>162</v>
      </c>
      <c r="Q8">
        <v>6</v>
      </c>
      <c r="R8">
        <v>1</v>
      </c>
      <c r="S8" s="2">
        <f t="shared" si="5"/>
        <v>6</v>
      </c>
      <c r="T8">
        <v>13</v>
      </c>
      <c r="U8">
        <v>1</v>
      </c>
      <c r="V8" s="2">
        <f t="shared" si="6"/>
        <v>13</v>
      </c>
      <c r="W8">
        <v>20</v>
      </c>
      <c r="X8">
        <v>1</v>
      </c>
      <c r="Y8" s="2">
        <f t="shared" si="7"/>
        <v>20</v>
      </c>
      <c r="Z8">
        <v>0.14499999999999999</v>
      </c>
      <c r="AA8">
        <v>1</v>
      </c>
      <c r="AB8" s="2">
        <f t="shared" si="8"/>
        <v>0.14499999999999999</v>
      </c>
      <c r="AC8">
        <v>0.113</v>
      </c>
      <c r="AD8">
        <v>1</v>
      </c>
      <c r="AE8" s="2">
        <f t="shared" si="9"/>
        <v>0.113</v>
      </c>
      <c r="AF8">
        <v>0.17399999999999999</v>
      </c>
      <c r="AG8">
        <v>1</v>
      </c>
      <c r="AH8" s="2">
        <f t="shared" si="10"/>
        <v>0.17399999999999999</v>
      </c>
      <c r="AI8" s="3">
        <f t="shared" si="11"/>
        <v>204.93333333333331</v>
      </c>
      <c r="AJ8" s="3">
        <f t="shared" si="12"/>
        <v>0.14399999999999999</v>
      </c>
      <c r="AK8" s="3">
        <f t="shared" si="13"/>
        <v>39</v>
      </c>
      <c r="AL8" s="3">
        <f t="shared" si="14"/>
        <v>1.2469135802469136</v>
      </c>
    </row>
    <row r="9" spans="1:38">
      <c r="A9" s="1">
        <v>7</v>
      </c>
      <c r="B9">
        <v>234.4</v>
      </c>
      <c r="C9">
        <v>1</v>
      </c>
      <c r="D9" s="2">
        <f t="shared" si="0"/>
        <v>234.4</v>
      </c>
      <c r="E9">
        <v>233.5</v>
      </c>
      <c r="F9">
        <v>1</v>
      </c>
      <c r="G9" s="2">
        <f t="shared" si="1"/>
        <v>233.5</v>
      </c>
      <c r="H9">
        <v>233.7</v>
      </c>
      <c r="I9">
        <v>1</v>
      </c>
      <c r="J9" s="2">
        <f t="shared" si="2"/>
        <v>233.7</v>
      </c>
      <c r="K9">
        <v>231</v>
      </c>
      <c r="L9">
        <v>1</v>
      </c>
      <c r="M9" s="2">
        <f t="shared" si="3"/>
        <v>231</v>
      </c>
      <c r="N9">
        <v>185</v>
      </c>
      <c r="O9">
        <v>1</v>
      </c>
      <c r="P9" s="2">
        <f t="shared" si="4"/>
        <v>185</v>
      </c>
      <c r="Q9">
        <v>6</v>
      </c>
      <c r="R9">
        <v>1</v>
      </c>
      <c r="S9" s="2">
        <f t="shared" si="5"/>
        <v>6</v>
      </c>
      <c r="T9">
        <v>20</v>
      </c>
      <c r="U9">
        <v>1</v>
      </c>
      <c r="V9" s="2">
        <f t="shared" si="6"/>
        <v>20</v>
      </c>
      <c r="W9">
        <v>28</v>
      </c>
      <c r="X9">
        <v>1</v>
      </c>
      <c r="Y9" s="2">
        <f t="shared" si="7"/>
        <v>28</v>
      </c>
      <c r="Z9">
        <v>0.219</v>
      </c>
      <c r="AA9">
        <v>1</v>
      </c>
      <c r="AB9" s="2">
        <f t="shared" si="8"/>
        <v>0.219</v>
      </c>
      <c r="AC9">
        <v>0.17299999999999999</v>
      </c>
      <c r="AD9">
        <v>1</v>
      </c>
      <c r="AE9" s="2">
        <f t="shared" si="9"/>
        <v>0.17299999999999999</v>
      </c>
      <c r="AF9">
        <v>0.26600000000000001</v>
      </c>
      <c r="AG9">
        <v>1</v>
      </c>
      <c r="AH9" s="2">
        <f t="shared" si="10"/>
        <v>0.26600000000000001</v>
      </c>
      <c r="AI9" s="3">
        <f t="shared" si="11"/>
        <v>233.86666666666665</v>
      </c>
      <c r="AJ9" s="3">
        <f t="shared" si="12"/>
        <v>0.21933333333333335</v>
      </c>
      <c r="AK9" s="3">
        <f t="shared" si="13"/>
        <v>54</v>
      </c>
      <c r="AL9" s="3">
        <f t="shared" si="14"/>
        <v>1.2486486486486486</v>
      </c>
    </row>
    <row r="10" spans="1:38">
      <c r="A10" s="1">
        <v>8</v>
      </c>
      <c r="B10">
        <v>264.2</v>
      </c>
      <c r="C10">
        <v>1</v>
      </c>
      <c r="D10" s="2">
        <f t="shared" si="0"/>
        <v>264.2</v>
      </c>
      <c r="E10">
        <v>263.2</v>
      </c>
      <c r="F10">
        <v>1</v>
      </c>
      <c r="G10" s="2">
        <f t="shared" si="1"/>
        <v>263.2</v>
      </c>
      <c r="H10">
        <v>263.7</v>
      </c>
      <c r="I10">
        <v>1</v>
      </c>
      <c r="J10" s="2">
        <f t="shared" si="2"/>
        <v>263.7</v>
      </c>
      <c r="K10">
        <v>260</v>
      </c>
      <c r="L10">
        <v>1</v>
      </c>
      <c r="M10" s="2">
        <f t="shared" si="3"/>
        <v>260</v>
      </c>
      <c r="N10">
        <v>208</v>
      </c>
      <c r="O10">
        <v>1</v>
      </c>
      <c r="P10" s="2">
        <f t="shared" si="4"/>
        <v>208</v>
      </c>
      <c r="Q10">
        <v>5</v>
      </c>
      <c r="R10">
        <v>1</v>
      </c>
      <c r="S10" s="2">
        <f t="shared" si="5"/>
        <v>5</v>
      </c>
      <c r="T10">
        <v>30</v>
      </c>
      <c r="U10">
        <v>1</v>
      </c>
      <c r="V10" s="2">
        <f t="shared" si="6"/>
        <v>30</v>
      </c>
      <c r="W10">
        <v>40</v>
      </c>
      <c r="X10">
        <v>1</v>
      </c>
      <c r="Y10" s="2">
        <f t="shared" si="7"/>
        <v>40</v>
      </c>
      <c r="Z10">
        <v>0.34799999999999998</v>
      </c>
      <c r="AA10">
        <v>1</v>
      </c>
      <c r="AB10" s="2">
        <f t="shared" si="8"/>
        <v>0.34799999999999998</v>
      </c>
      <c r="AC10">
        <v>0.28199999999999997</v>
      </c>
      <c r="AD10">
        <v>1</v>
      </c>
      <c r="AE10" s="2">
        <f t="shared" si="9"/>
        <v>0.28199999999999997</v>
      </c>
      <c r="AF10">
        <v>0.42</v>
      </c>
      <c r="AG10">
        <v>1</v>
      </c>
      <c r="AH10" s="2">
        <f t="shared" si="10"/>
        <v>0.42</v>
      </c>
      <c r="AI10" s="3">
        <f t="shared" si="11"/>
        <v>263.7</v>
      </c>
      <c r="AJ10" s="3">
        <f t="shared" si="12"/>
        <v>0.34999999999999992</v>
      </c>
      <c r="AK10" s="3">
        <f t="shared" si="13"/>
        <v>75</v>
      </c>
      <c r="AL10" s="3">
        <f t="shared" si="14"/>
        <v>1.25</v>
      </c>
    </row>
  </sheetData>
  <mergeCells count="12">
    <mergeCell ref="AF1:AH1"/>
    <mergeCell ref="A1:A2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2020-06-17T10:35:44Z</dcterms:modified>
</cp:coreProperties>
</file>