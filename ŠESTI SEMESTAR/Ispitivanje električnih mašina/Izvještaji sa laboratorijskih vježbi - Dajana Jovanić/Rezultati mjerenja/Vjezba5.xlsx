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AB3" i="1"/>
  <c r="AB4"/>
  <c r="AB5"/>
  <c r="AB6"/>
  <c r="AB7"/>
  <c r="AB8"/>
  <c r="AB9"/>
  <c r="AB10"/>
  <c r="AB11"/>
  <c r="AB12"/>
  <c r="AB13"/>
  <c r="AB14"/>
  <c r="AB15"/>
  <c r="AB16"/>
  <c r="AB17"/>
  <c r="AB18"/>
  <c r="AB19"/>
  <c r="AB2"/>
  <c r="Z18"/>
  <c r="Z19"/>
  <c r="Z16"/>
  <c r="Z17"/>
  <c r="Z14"/>
  <c r="Z15"/>
  <c r="Z12"/>
  <c r="Z13"/>
  <c r="Z9"/>
  <c r="Z10"/>
  <c r="Z11"/>
  <c r="Z6"/>
  <c r="Z7"/>
  <c r="Z8"/>
  <c r="Z5"/>
  <c r="Z4"/>
  <c r="Z3"/>
  <c r="W3"/>
  <c r="W4"/>
  <c r="W5"/>
  <c r="W6"/>
  <c r="W7"/>
  <c r="W8"/>
  <c r="W9"/>
  <c r="W10"/>
  <c r="W11"/>
  <c r="W12"/>
  <c r="W13"/>
  <c r="W14"/>
  <c r="W15"/>
  <c r="W16"/>
  <c r="W17"/>
  <c r="W18"/>
  <c r="W19"/>
  <c r="W2"/>
  <c r="AA19"/>
  <c r="AA18"/>
  <c r="AA17"/>
  <c r="AA16"/>
  <c r="AA15"/>
  <c r="AA14"/>
  <c r="AA13"/>
  <c r="AA12"/>
  <c r="AA11"/>
  <c r="AA10"/>
  <c r="AA9"/>
  <c r="M13"/>
  <c r="AA8"/>
  <c r="AA3"/>
  <c r="AA4"/>
  <c r="AA5"/>
  <c r="AA6"/>
  <c r="AA7"/>
  <c r="AA2"/>
  <c r="Z2"/>
  <c r="U4"/>
  <c r="U5"/>
  <c r="U6"/>
  <c r="U7"/>
  <c r="U8"/>
  <c r="U9"/>
  <c r="U10"/>
  <c r="U11"/>
  <c r="U12"/>
  <c r="U13"/>
  <c r="U14"/>
  <c r="U15"/>
  <c r="U16"/>
  <c r="U17"/>
  <c r="U3"/>
  <c r="S4"/>
  <c r="S5"/>
  <c r="S6"/>
  <c r="S7"/>
  <c r="S8"/>
  <c r="S9"/>
  <c r="S10"/>
  <c r="S11"/>
  <c r="S12"/>
  <c r="S13"/>
  <c r="S14"/>
  <c r="S15"/>
  <c r="S16"/>
  <c r="S17"/>
  <c r="S3"/>
  <c r="R4"/>
  <c r="R5"/>
  <c r="R6"/>
  <c r="R7"/>
  <c r="R8"/>
  <c r="R9"/>
  <c r="R10"/>
  <c r="R11"/>
  <c r="R12"/>
  <c r="R13"/>
  <c r="R14"/>
  <c r="R3"/>
  <c r="Q4"/>
  <c r="Q5"/>
  <c r="Q6"/>
  <c r="Q7"/>
  <c r="Q8"/>
  <c r="Q9"/>
  <c r="Q10"/>
  <c r="Q11"/>
  <c r="Q12"/>
  <c r="Q13"/>
  <c r="Q14"/>
  <c r="Q3"/>
  <c r="P4"/>
  <c r="P5"/>
  <c r="P6"/>
  <c r="P7"/>
  <c r="P8"/>
  <c r="P9"/>
  <c r="P10"/>
  <c r="P11"/>
  <c r="P12"/>
  <c r="P13"/>
  <c r="P14"/>
  <c r="P15"/>
  <c r="P16"/>
  <c r="P17"/>
  <c r="P3"/>
  <c r="M4"/>
  <c r="M5"/>
  <c r="M6"/>
  <c r="M7"/>
  <c r="M8"/>
  <c r="M9"/>
  <c r="M10"/>
  <c r="M11"/>
  <c r="M12"/>
  <c r="M14"/>
  <c r="M15"/>
  <c r="M16"/>
  <c r="M17"/>
  <c r="M3"/>
  <c r="J4"/>
  <c r="J5"/>
  <c r="J6"/>
  <c r="J7"/>
  <c r="J8"/>
  <c r="J9"/>
  <c r="J10"/>
  <c r="J11"/>
  <c r="J12"/>
  <c r="J13"/>
  <c r="J14"/>
  <c r="J15"/>
  <c r="J16"/>
  <c r="J17"/>
  <c r="J3"/>
  <c r="G4"/>
  <c r="G5"/>
  <c r="G6"/>
  <c r="G7"/>
  <c r="G8"/>
  <c r="G9"/>
  <c r="G10"/>
  <c r="G11"/>
  <c r="G12"/>
  <c r="G13"/>
  <c r="G14"/>
  <c r="G3"/>
  <c r="D4"/>
  <c r="D5"/>
  <c r="D6"/>
  <c r="D7"/>
  <c r="D8"/>
  <c r="D9"/>
  <c r="D10"/>
  <c r="D11"/>
  <c r="D12"/>
  <c r="D13"/>
  <c r="D14"/>
  <c r="D3"/>
</calcChain>
</file>

<file path=xl/sharedStrings.xml><?xml version="1.0" encoding="utf-8"?>
<sst xmlns="http://schemas.openxmlformats.org/spreadsheetml/2006/main" count="27" uniqueCount="17">
  <si>
    <t>RBM</t>
  </si>
  <si>
    <t>Ia[A]</t>
  </si>
  <si>
    <t>Ua[V]</t>
  </si>
  <si>
    <t>Ua0[V]</t>
  </si>
  <si>
    <t>Ia0[A]</t>
  </si>
  <si>
    <t>n0[o/min]</t>
  </si>
  <si>
    <t>α</t>
  </si>
  <si>
    <t>k</t>
  </si>
  <si>
    <r>
      <t>Ra[</t>
    </r>
    <r>
      <rPr>
        <b/>
        <sz val="11"/>
        <color theme="1"/>
        <rFont val="Calibri"/>
        <family val="2"/>
        <charset val="238"/>
      </rPr>
      <t>Ω]</t>
    </r>
  </si>
  <si>
    <r>
      <t>Ra75[</t>
    </r>
    <r>
      <rPr>
        <b/>
        <sz val="11"/>
        <color theme="1"/>
        <rFont val="Calibri"/>
        <family val="2"/>
        <charset val="238"/>
      </rPr>
      <t>Ω]</t>
    </r>
  </si>
  <si>
    <t>Ua0*Ia0[W]</t>
  </si>
  <si>
    <t>Ra*Ia0^2[W]</t>
  </si>
  <si>
    <t>Pfv+Pfe[W]</t>
  </si>
  <si>
    <t>β</t>
  </si>
  <si>
    <t>Ra*Ia^2[W]</t>
  </si>
  <si>
    <t>Pe[W]</t>
  </si>
  <si>
    <t>η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</si>
</sst>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</font>
    <font>
      <b/>
      <sz val="12"/>
      <color theme="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2" fontId="0" fillId="2" borderId="0" xfId="0" applyNumberFormat="1" applyFill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0</xdr:row>
      <xdr:rowOff>0</xdr:rowOff>
    </xdr:from>
    <xdr:to>
      <xdr:col>23</xdr:col>
      <xdr:colOff>95250</xdr:colOff>
      <xdr:row>0</xdr:row>
      <xdr:rowOff>209550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696450" y="0"/>
          <a:ext cx="95250" cy="2095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9"/>
  <sheetViews>
    <sheetView tabSelected="1" workbookViewId="0">
      <selection activeCell="U21" sqref="U21"/>
    </sheetView>
  </sheetViews>
  <sheetFormatPr defaultRowHeight="15"/>
  <cols>
    <col min="1" max="1" width="5.140625" bestFit="1" customWidth="1"/>
    <col min="2" max="2" width="5" bestFit="1" customWidth="1"/>
    <col min="3" max="3" width="4" bestFit="1" customWidth="1"/>
    <col min="4" max="4" width="5" bestFit="1" customWidth="1"/>
    <col min="5" max="5" width="6" bestFit="1" customWidth="1"/>
    <col min="6" max="6" width="2" bestFit="1" customWidth="1"/>
    <col min="7" max="8" width="6" bestFit="1" customWidth="1"/>
    <col min="9" max="9" width="2" bestFit="1" customWidth="1"/>
    <col min="10" max="10" width="6" bestFit="1" customWidth="1"/>
    <col min="11" max="12" width="4" bestFit="1" customWidth="1"/>
    <col min="13" max="13" width="5" bestFit="1" customWidth="1"/>
    <col min="14" max="14" width="6" bestFit="1" customWidth="1"/>
    <col min="15" max="15" width="2" bestFit="1" customWidth="1"/>
    <col min="16" max="16" width="6" bestFit="1" customWidth="1"/>
    <col min="19" max="19" width="11.42578125" bestFit="1" customWidth="1"/>
    <col min="20" max="20" width="12.140625" customWidth="1"/>
    <col min="21" max="21" width="11.140625" customWidth="1"/>
    <col min="26" max="26" width="11.140625" bestFit="1" customWidth="1"/>
    <col min="27" max="27" width="7.7109375" customWidth="1"/>
  </cols>
  <sheetData>
    <row r="1" spans="1:28" ht="15.75">
      <c r="A1" s="7" t="s">
        <v>0</v>
      </c>
      <c r="B1" s="6" t="s">
        <v>1</v>
      </c>
      <c r="C1" s="6"/>
      <c r="D1" s="6"/>
      <c r="E1" s="6" t="s">
        <v>2</v>
      </c>
      <c r="F1" s="6"/>
      <c r="G1" s="6"/>
      <c r="H1" s="6" t="s">
        <v>3</v>
      </c>
      <c r="I1" s="6"/>
      <c r="J1" s="6"/>
      <c r="K1" s="6" t="s">
        <v>4</v>
      </c>
      <c r="L1" s="6"/>
      <c r="M1" s="6"/>
      <c r="N1" s="6" t="s">
        <v>5</v>
      </c>
      <c r="O1" s="6"/>
      <c r="P1" s="6"/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W1" s="1" t="s">
        <v>1</v>
      </c>
      <c r="X1" s="4" t="s">
        <v>13</v>
      </c>
      <c r="Y1" s="1" t="s">
        <v>8</v>
      </c>
      <c r="Z1" s="1" t="s">
        <v>14</v>
      </c>
      <c r="AA1" s="1" t="s">
        <v>15</v>
      </c>
      <c r="AB1" s="5" t="s">
        <v>16</v>
      </c>
    </row>
    <row r="2" spans="1:28">
      <c r="A2" s="7"/>
      <c r="B2" s="1" t="s">
        <v>6</v>
      </c>
      <c r="C2" s="1" t="s">
        <v>7</v>
      </c>
      <c r="D2" s="1"/>
      <c r="E2" s="1" t="s">
        <v>6</v>
      </c>
      <c r="F2" s="1" t="s">
        <v>7</v>
      </c>
      <c r="G2" s="1"/>
      <c r="H2" s="1" t="s">
        <v>6</v>
      </c>
      <c r="I2" s="1" t="s">
        <v>7</v>
      </c>
      <c r="J2" s="1"/>
      <c r="K2" s="1" t="s">
        <v>6</v>
      </c>
      <c r="L2" s="1" t="s">
        <v>7</v>
      </c>
      <c r="M2" s="1"/>
      <c r="N2" s="1" t="s">
        <v>6</v>
      </c>
      <c r="O2" s="1" t="s">
        <v>7</v>
      </c>
      <c r="P2" s="1"/>
      <c r="W2">
        <f>7.2*X2</f>
        <v>2.8800000000000003</v>
      </c>
      <c r="X2" s="3">
        <v>0.4</v>
      </c>
      <c r="Y2">
        <v>2.806</v>
      </c>
      <c r="Z2">
        <f>Y2*W2^2</f>
        <v>23.274086400000005</v>
      </c>
      <c r="AA2">
        <f>X2*230*7.2</f>
        <v>662.4</v>
      </c>
      <c r="AB2" s="2">
        <f>AA2/(AA2+Z2+236.98)</f>
        <v>0.71792886387632437</v>
      </c>
    </row>
    <row r="3" spans="1:28">
      <c r="A3" s="1">
        <v>1</v>
      </c>
      <c r="B3">
        <v>2.2000000000000002</v>
      </c>
      <c r="C3">
        <v>0.1</v>
      </c>
      <c r="D3" s="2">
        <f>B3*C3</f>
        <v>0.22000000000000003</v>
      </c>
      <c r="E3">
        <v>0.61899999999999999</v>
      </c>
      <c r="F3">
        <v>1</v>
      </c>
      <c r="G3" s="2">
        <f>E3*F3</f>
        <v>0.61899999999999999</v>
      </c>
      <c r="H3">
        <v>40.299999999999997</v>
      </c>
      <c r="I3">
        <v>1</v>
      </c>
      <c r="J3" s="2">
        <f>H3*I3</f>
        <v>40.299999999999997</v>
      </c>
      <c r="K3">
        <v>2.9</v>
      </c>
      <c r="L3">
        <v>0.1</v>
      </c>
      <c r="M3" s="2">
        <f>K3*L3</f>
        <v>0.28999999999999998</v>
      </c>
      <c r="N3">
        <v>191.4</v>
      </c>
      <c r="O3">
        <v>1</v>
      </c>
      <c r="P3" s="2">
        <f>N3</f>
        <v>191.4</v>
      </c>
      <c r="Q3" s="3">
        <f>G3/D3</f>
        <v>2.813636363636363</v>
      </c>
      <c r="R3" s="3">
        <f>Q3*310/255</f>
        <v>3.4204991087344019</v>
      </c>
      <c r="S3" s="3">
        <f>J3*M3</f>
        <v>11.686999999999998</v>
      </c>
      <c r="T3" s="2">
        <v>0.24439459999999999</v>
      </c>
      <c r="U3" s="3">
        <f>S3-T3</f>
        <v>11.442605399999998</v>
      </c>
      <c r="W3">
        <f t="shared" ref="W3:W19" si="0">7.2*X3</f>
        <v>3.24</v>
      </c>
      <c r="X3" s="3">
        <v>0.45</v>
      </c>
      <c r="Y3">
        <v>2.7719999999999998</v>
      </c>
      <c r="Z3">
        <f>Y3*W3^2</f>
        <v>29.099347200000004</v>
      </c>
      <c r="AA3">
        <f t="shared" ref="AA3:AA19" si="1">X3*230*7.2</f>
        <v>745.2</v>
      </c>
      <c r="AB3" s="2">
        <f t="shared" ref="AB3:AB19" si="2">AA3/(AA3+Z3+236.98)</f>
        <v>0.73688838011305924</v>
      </c>
    </row>
    <row r="4" spans="1:28">
      <c r="A4" s="1">
        <v>2</v>
      </c>
      <c r="B4">
        <v>4.2</v>
      </c>
      <c r="C4">
        <v>0.1</v>
      </c>
      <c r="D4" s="2">
        <f t="shared" ref="D4:D14" si="3">B4*C4</f>
        <v>0.42000000000000004</v>
      </c>
      <c r="E4">
        <v>1.1819999999999999</v>
      </c>
      <c r="F4">
        <v>1</v>
      </c>
      <c r="G4" s="2">
        <f t="shared" ref="G4:G14" si="4">E4*F4</f>
        <v>1.1819999999999999</v>
      </c>
      <c r="H4">
        <v>60.3</v>
      </c>
      <c r="I4">
        <v>1</v>
      </c>
      <c r="J4" s="2">
        <f t="shared" ref="J4:J17" si="5">H4*I4</f>
        <v>60.3</v>
      </c>
      <c r="K4">
        <v>3</v>
      </c>
      <c r="L4">
        <v>0.1</v>
      </c>
      <c r="M4" s="2">
        <f t="shared" ref="M4:M17" si="6">K4*L4</f>
        <v>0.30000000000000004</v>
      </c>
      <c r="N4">
        <v>289.39999999999998</v>
      </c>
      <c r="O4">
        <v>1</v>
      </c>
      <c r="P4" s="2">
        <f t="shared" ref="P4:P17" si="7">N4</f>
        <v>289.39999999999998</v>
      </c>
      <c r="Q4" s="3">
        <f t="shared" ref="Q4:Q14" si="8">G4/D4</f>
        <v>2.8142857142857141</v>
      </c>
      <c r="R4" s="3">
        <f t="shared" ref="R4:R14" si="9">Q4*310/255</f>
        <v>3.4212885154061623</v>
      </c>
      <c r="S4" s="3">
        <f t="shared" ref="S4:S17" si="10">J4*M4</f>
        <v>18.090000000000003</v>
      </c>
      <c r="T4" s="2">
        <v>0.26073000000000002</v>
      </c>
      <c r="U4" s="3">
        <f t="shared" ref="U4:U17" si="11">S4-T4</f>
        <v>17.829270000000005</v>
      </c>
      <c r="W4">
        <f t="shared" si="0"/>
        <v>3.6</v>
      </c>
      <c r="X4" s="3">
        <v>0.5</v>
      </c>
      <c r="Y4">
        <v>2.742</v>
      </c>
      <c r="Z4">
        <f>Y4*W4^2</f>
        <v>35.536320000000003</v>
      </c>
      <c r="AA4">
        <f t="shared" si="1"/>
        <v>828</v>
      </c>
      <c r="AB4" s="2">
        <f t="shared" si="2"/>
        <v>0.75237412199393827</v>
      </c>
    </row>
    <row r="5" spans="1:28">
      <c r="A5" s="1">
        <v>3</v>
      </c>
      <c r="B5">
        <v>6.2</v>
      </c>
      <c r="C5">
        <v>0.1</v>
      </c>
      <c r="D5" s="2">
        <f t="shared" si="3"/>
        <v>0.62000000000000011</v>
      </c>
      <c r="E5">
        <v>1.7050000000000001</v>
      </c>
      <c r="F5">
        <v>1</v>
      </c>
      <c r="G5" s="2">
        <f t="shared" si="4"/>
        <v>1.7050000000000001</v>
      </c>
      <c r="H5">
        <v>81.099999999999994</v>
      </c>
      <c r="I5">
        <v>1</v>
      </c>
      <c r="J5" s="2">
        <f t="shared" si="5"/>
        <v>81.099999999999994</v>
      </c>
      <c r="K5">
        <v>3.2</v>
      </c>
      <c r="L5">
        <v>0.1</v>
      </c>
      <c r="M5" s="2">
        <f t="shared" si="6"/>
        <v>0.32000000000000006</v>
      </c>
      <c r="N5">
        <v>392.8</v>
      </c>
      <c r="O5">
        <v>1</v>
      </c>
      <c r="P5" s="2">
        <f t="shared" si="7"/>
        <v>392.8</v>
      </c>
      <c r="Q5" s="3">
        <f t="shared" si="8"/>
        <v>2.7499999999999996</v>
      </c>
      <c r="R5" s="3">
        <f t="shared" si="9"/>
        <v>3.3431372549019605</v>
      </c>
      <c r="S5" s="3">
        <f t="shared" si="10"/>
        <v>25.952000000000002</v>
      </c>
      <c r="T5" s="2">
        <v>0.2947072</v>
      </c>
      <c r="U5" s="3">
        <f t="shared" si="11"/>
        <v>25.6572928</v>
      </c>
      <c r="W5">
        <f t="shared" si="0"/>
        <v>3.9600000000000004</v>
      </c>
      <c r="X5" s="3">
        <v>0.55000000000000004</v>
      </c>
      <c r="Y5">
        <v>2.7160000000000002</v>
      </c>
      <c r="Z5">
        <f>Y5*W5^2</f>
        <v>42.591225600000008</v>
      </c>
      <c r="AA5">
        <f t="shared" si="1"/>
        <v>910.80000000000007</v>
      </c>
      <c r="AB5" s="2">
        <f t="shared" si="2"/>
        <v>0.76513946272593769</v>
      </c>
    </row>
    <row r="6" spans="1:28">
      <c r="A6" s="1">
        <v>4</v>
      </c>
      <c r="B6">
        <v>8.4</v>
      </c>
      <c r="C6">
        <v>0.1</v>
      </c>
      <c r="D6" s="2">
        <f t="shared" si="3"/>
        <v>0.84000000000000008</v>
      </c>
      <c r="E6">
        <v>2.2799999999999998</v>
      </c>
      <c r="F6">
        <v>1</v>
      </c>
      <c r="G6" s="2">
        <f t="shared" si="4"/>
        <v>2.2799999999999998</v>
      </c>
      <c r="H6">
        <v>100.3</v>
      </c>
      <c r="I6">
        <v>1</v>
      </c>
      <c r="J6" s="2">
        <f t="shared" si="5"/>
        <v>100.3</v>
      </c>
      <c r="K6">
        <v>3.2</v>
      </c>
      <c r="L6">
        <v>0.1</v>
      </c>
      <c r="M6" s="2">
        <f t="shared" si="6"/>
        <v>0.32000000000000006</v>
      </c>
      <c r="N6">
        <v>489.8</v>
      </c>
      <c r="O6">
        <v>1</v>
      </c>
      <c r="P6" s="2">
        <f t="shared" si="7"/>
        <v>489.8</v>
      </c>
      <c r="Q6" s="3">
        <f t="shared" si="8"/>
        <v>2.714285714285714</v>
      </c>
      <c r="R6" s="3">
        <f t="shared" si="9"/>
        <v>3.2997198879551819</v>
      </c>
      <c r="S6" s="3">
        <f t="shared" si="10"/>
        <v>32.096000000000004</v>
      </c>
      <c r="T6" s="2">
        <v>0.2947072</v>
      </c>
      <c r="U6" s="3">
        <f t="shared" si="11"/>
        <v>31.801292800000002</v>
      </c>
      <c r="W6">
        <f t="shared" si="0"/>
        <v>4.32</v>
      </c>
      <c r="X6" s="3">
        <v>0.6</v>
      </c>
      <c r="Y6">
        <v>2.6920000000000002</v>
      </c>
      <c r="Z6">
        <f>Y6*W6^2</f>
        <v>50.239180800000007</v>
      </c>
      <c r="AA6">
        <f t="shared" si="1"/>
        <v>993.6</v>
      </c>
      <c r="AB6" s="2">
        <f t="shared" si="2"/>
        <v>0.77575352937750131</v>
      </c>
    </row>
    <row r="7" spans="1:28">
      <c r="A7" s="1">
        <v>5</v>
      </c>
      <c r="B7">
        <v>10.1</v>
      </c>
      <c r="C7">
        <v>0.1</v>
      </c>
      <c r="D7" s="2">
        <f t="shared" si="3"/>
        <v>1.01</v>
      </c>
      <c r="E7">
        <v>2.71</v>
      </c>
      <c r="F7">
        <v>1</v>
      </c>
      <c r="G7" s="2">
        <f t="shared" si="4"/>
        <v>2.71</v>
      </c>
      <c r="H7">
        <v>122.2</v>
      </c>
      <c r="I7">
        <v>1</v>
      </c>
      <c r="J7" s="2">
        <f t="shared" si="5"/>
        <v>122.2</v>
      </c>
      <c r="K7">
        <v>3.3</v>
      </c>
      <c r="L7">
        <v>0.1</v>
      </c>
      <c r="M7" s="2">
        <f t="shared" si="6"/>
        <v>0.33</v>
      </c>
      <c r="N7">
        <v>596.6</v>
      </c>
      <c r="O7">
        <v>1</v>
      </c>
      <c r="P7" s="2">
        <f t="shared" si="7"/>
        <v>596.6</v>
      </c>
      <c r="Q7" s="3">
        <f t="shared" si="8"/>
        <v>2.6831683168316833</v>
      </c>
      <c r="R7" s="3">
        <f t="shared" si="9"/>
        <v>3.2618908949718506</v>
      </c>
      <c r="S7" s="3">
        <f t="shared" si="10"/>
        <v>40.326000000000001</v>
      </c>
      <c r="T7" s="2">
        <v>0.31243409999999999</v>
      </c>
      <c r="U7" s="3">
        <f t="shared" si="11"/>
        <v>40.013565900000003</v>
      </c>
      <c r="W7">
        <f t="shared" si="0"/>
        <v>4.6800000000000006</v>
      </c>
      <c r="X7" s="3">
        <v>0.65</v>
      </c>
      <c r="Y7">
        <v>2.6709999999999998</v>
      </c>
      <c r="Z7">
        <f>Y7*W7^2</f>
        <v>58.501310400000015</v>
      </c>
      <c r="AA7">
        <f t="shared" si="1"/>
        <v>1076.4000000000001</v>
      </c>
      <c r="AB7" s="2">
        <f t="shared" si="2"/>
        <v>0.78461598087239315</v>
      </c>
    </row>
    <row r="8" spans="1:28">
      <c r="A8" s="1">
        <v>6</v>
      </c>
      <c r="B8">
        <v>20</v>
      </c>
      <c r="C8">
        <v>0.1</v>
      </c>
      <c r="D8" s="2">
        <f t="shared" si="3"/>
        <v>2</v>
      </c>
      <c r="E8">
        <v>4.8600000000000003</v>
      </c>
      <c r="F8">
        <v>1</v>
      </c>
      <c r="G8" s="2">
        <f t="shared" si="4"/>
        <v>4.8600000000000003</v>
      </c>
      <c r="H8">
        <v>141.30000000000001</v>
      </c>
      <c r="I8">
        <v>1</v>
      </c>
      <c r="J8" s="2">
        <f t="shared" si="5"/>
        <v>141.30000000000001</v>
      </c>
      <c r="K8">
        <v>3.3</v>
      </c>
      <c r="L8">
        <v>0.1</v>
      </c>
      <c r="M8" s="2">
        <f t="shared" si="6"/>
        <v>0.33</v>
      </c>
      <c r="N8">
        <v>698.6</v>
      </c>
      <c r="O8">
        <v>1</v>
      </c>
      <c r="P8" s="2">
        <f t="shared" si="7"/>
        <v>698.6</v>
      </c>
      <c r="Q8" s="3">
        <f t="shared" si="8"/>
        <v>2.4300000000000002</v>
      </c>
      <c r="R8" s="3">
        <f t="shared" si="9"/>
        <v>2.954117647058824</v>
      </c>
      <c r="S8" s="3">
        <f t="shared" si="10"/>
        <v>46.629000000000005</v>
      </c>
      <c r="T8" s="2">
        <v>0.31243409999999999</v>
      </c>
      <c r="U8" s="3">
        <f t="shared" si="11"/>
        <v>46.316565900000008</v>
      </c>
      <c r="W8">
        <f t="shared" si="0"/>
        <v>5.04</v>
      </c>
      <c r="X8" s="3">
        <v>0.7</v>
      </c>
      <c r="Y8">
        <v>2.6509999999999998</v>
      </c>
      <c r="Z8">
        <f>Y8*W8^2</f>
        <v>67.339641599999993</v>
      </c>
      <c r="AA8">
        <f t="shared" si="1"/>
        <v>1159.2</v>
      </c>
      <c r="AB8" s="2">
        <f t="shared" si="2"/>
        <v>0.79206316543363842</v>
      </c>
    </row>
    <row r="9" spans="1:28">
      <c r="A9" s="1">
        <v>7</v>
      </c>
      <c r="B9">
        <v>30.5</v>
      </c>
      <c r="C9">
        <v>0.1</v>
      </c>
      <c r="D9" s="2">
        <f t="shared" si="3"/>
        <v>3.0500000000000003</v>
      </c>
      <c r="E9">
        <v>6.8</v>
      </c>
      <c r="F9">
        <v>1</v>
      </c>
      <c r="G9" s="2">
        <f t="shared" si="4"/>
        <v>6.8</v>
      </c>
      <c r="H9">
        <v>160.1</v>
      </c>
      <c r="I9">
        <v>1</v>
      </c>
      <c r="J9" s="2">
        <f t="shared" si="5"/>
        <v>160.1</v>
      </c>
      <c r="K9">
        <v>3.4</v>
      </c>
      <c r="L9">
        <v>0.1</v>
      </c>
      <c r="M9" s="2">
        <f t="shared" si="6"/>
        <v>0.34</v>
      </c>
      <c r="N9">
        <v>796.7</v>
      </c>
      <c r="O9">
        <v>1</v>
      </c>
      <c r="P9" s="2">
        <f t="shared" si="7"/>
        <v>796.7</v>
      </c>
      <c r="Q9" s="3">
        <f t="shared" si="8"/>
        <v>2.2295081967213113</v>
      </c>
      <c r="R9" s="3">
        <f t="shared" si="9"/>
        <v>2.7103825136612021</v>
      </c>
      <c r="S9" s="3">
        <f t="shared" si="10"/>
        <v>54.434000000000005</v>
      </c>
      <c r="T9" s="2">
        <v>0.33061600000000002</v>
      </c>
      <c r="U9" s="3">
        <f t="shared" si="11"/>
        <v>54.103384000000005</v>
      </c>
      <c r="W9">
        <f t="shared" si="0"/>
        <v>5.4</v>
      </c>
      <c r="X9" s="3">
        <v>0.75</v>
      </c>
      <c r="Y9">
        <v>2.633</v>
      </c>
      <c r="Z9">
        <f>Y9*W9^2</f>
        <v>76.778280000000009</v>
      </c>
      <c r="AA9">
        <f t="shared" si="1"/>
        <v>1242</v>
      </c>
      <c r="AB9" s="2">
        <f t="shared" si="2"/>
        <v>0.79832453149469984</v>
      </c>
    </row>
    <row r="10" spans="1:28">
      <c r="A10" s="1">
        <v>8</v>
      </c>
      <c r="B10">
        <v>40.299999999999997</v>
      </c>
      <c r="C10">
        <v>0.1</v>
      </c>
      <c r="D10" s="2">
        <f t="shared" si="3"/>
        <v>4.03</v>
      </c>
      <c r="E10">
        <v>8.86</v>
      </c>
      <c r="F10">
        <v>1</v>
      </c>
      <c r="G10" s="2">
        <f t="shared" si="4"/>
        <v>8.86</v>
      </c>
      <c r="H10">
        <v>180.4</v>
      </c>
      <c r="I10">
        <v>1</v>
      </c>
      <c r="J10" s="2">
        <f t="shared" si="5"/>
        <v>180.4</v>
      </c>
      <c r="K10">
        <v>3.5</v>
      </c>
      <c r="L10">
        <v>0.1</v>
      </c>
      <c r="M10" s="2">
        <f t="shared" si="6"/>
        <v>0.35000000000000003</v>
      </c>
      <c r="N10">
        <v>888.3</v>
      </c>
      <c r="O10">
        <v>1</v>
      </c>
      <c r="P10" s="2">
        <f t="shared" si="7"/>
        <v>888.3</v>
      </c>
      <c r="Q10" s="3">
        <f t="shared" si="8"/>
        <v>2.1985111662531014</v>
      </c>
      <c r="R10" s="3">
        <f t="shared" si="9"/>
        <v>2.6726998491704368</v>
      </c>
      <c r="S10" s="3">
        <f t="shared" si="10"/>
        <v>63.140000000000008</v>
      </c>
      <c r="T10" s="2">
        <v>0.34937000000000001</v>
      </c>
      <c r="U10" s="3">
        <f t="shared" si="11"/>
        <v>62.790630000000007</v>
      </c>
      <c r="W10">
        <f t="shared" si="0"/>
        <v>5.7600000000000007</v>
      </c>
      <c r="X10" s="3">
        <v>0.8</v>
      </c>
      <c r="Y10">
        <v>2.6150000000000002</v>
      </c>
      <c r="Z10">
        <f>Y10*W10^2</f>
        <v>86.759424000000024</v>
      </c>
      <c r="AA10">
        <f t="shared" si="1"/>
        <v>1324.8</v>
      </c>
      <c r="AB10" s="2">
        <f t="shared" si="2"/>
        <v>0.80362045378661195</v>
      </c>
    </row>
    <row r="11" spans="1:28">
      <c r="A11" s="1">
        <v>9</v>
      </c>
      <c r="B11">
        <v>50.3</v>
      </c>
      <c r="C11">
        <v>0.1</v>
      </c>
      <c r="D11" s="2">
        <f t="shared" si="3"/>
        <v>5.03</v>
      </c>
      <c r="E11">
        <v>10.95</v>
      </c>
      <c r="F11">
        <v>1</v>
      </c>
      <c r="G11" s="2">
        <f t="shared" si="4"/>
        <v>10.95</v>
      </c>
      <c r="H11">
        <v>199</v>
      </c>
      <c r="I11">
        <v>1</v>
      </c>
      <c r="J11" s="2">
        <f t="shared" si="5"/>
        <v>199</v>
      </c>
      <c r="K11">
        <v>3.6</v>
      </c>
      <c r="L11">
        <v>0.1</v>
      </c>
      <c r="M11" s="2">
        <f t="shared" si="6"/>
        <v>0.36000000000000004</v>
      </c>
      <c r="N11">
        <v>985</v>
      </c>
      <c r="O11">
        <v>1</v>
      </c>
      <c r="P11" s="2">
        <f t="shared" si="7"/>
        <v>985</v>
      </c>
      <c r="Q11" s="3">
        <f t="shared" si="8"/>
        <v>2.1769383697813121</v>
      </c>
      <c r="R11" s="3">
        <f t="shared" si="9"/>
        <v>2.6464740965968891</v>
      </c>
      <c r="S11" s="3">
        <f t="shared" si="10"/>
        <v>71.640000000000015</v>
      </c>
      <c r="T11" s="2">
        <v>0.36858239999999998</v>
      </c>
      <c r="U11" s="3">
        <f t="shared" si="11"/>
        <v>71.271417600000021</v>
      </c>
      <c r="W11">
        <f t="shared" si="0"/>
        <v>6.12</v>
      </c>
      <c r="X11" s="3">
        <v>0.85</v>
      </c>
      <c r="Y11">
        <v>2.6</v>
      </c>
      <c r="Z11">
        <f>Y11*W11^2</f>
        <v>97.381439999999998</v>
      </c>
      <c r="AA11">
        <f t="shared" si="1"/>
        <v>1407.6000000000001</v>
      </c>
      <c r="AB11" s="2">
        <f t="shared" si="2"/>
        <v>0.80805462605417955</v>
      </c>
    </row>
    <row r="12" spans="1:28">
      <c r="A12" s="1">
        <v>10</v>
      </c>
      <c r="B12">
        <v>61.2</v>
      </c>
      <c r="C12">
        <v>0.1</v>
      </c>
      <c r="D12" s="2">
        <f t="shared" si="3"/>
        <v>6.120000000000001</v>
      </c>
      <c r="E12">
        <v>13.05</v>
      </c>
      <c r="F12">
        <v>1</v>
      </c>
      <c r="G12" s="2">
        <f t="shared" si="4"/>
        <v>13.05</v>
      </c>
      <c r="H12">
        <v>220</v>
      </c>
      <c r="I12">
        <v>1</v>
      </c>
      <c r="J12" s="2">
        <f t="shared" si="5"/>
        <v>220</v>
      </c>
      <c r="K12">
        <v>3.7</v>
      </c>
      <c r="L12">
        <v>0.1</v>
      </c>
      <c r="M12" s="2">
        <f t="shared" si="6"/>
        <v>0.37000000000000005</v>
      </c>
      <c r="N12">
        <v>1091</v>
      </c>
      <c r="O12">
        <v>1</v>
      </c>
      <c r="P12" s="2">
        <f t="shared" si="7"/>
        <v>1091</v>
      </c>
      <c r="Q12" s="3">
        <f t="shared" si="8"/>
        <v>2.1323529411764706</v>
      </c>
      <c r="R12" s="3">
        <f t="shared" si="9"/>
        <v>2.5922722029988465</v>
      </c>
      <c r="S12" s="3">
        <f t="shared" si="10"/>
        <v>81.400000000000006</v>
      </c>
      <c r="T12" s="2">
        <v>0.38824839999999999</v>
      </c>
      <c r="U12" s="3">
        <f t="shared" si="11"/>
        <v>81.011751600000011</v>
      </c>
      <c r="W12">
        <f t="shared" si="0"/>
        <v>6.48</v>
      </c>
      <c r="X12" s="3">
        <v>0.9</v>
      </c>
      <c r="Y12">
        <v>2.585</v>
      </c>
      <c r="Z12">
        <f>Y12*W12^2</f>
        <v>108.54518400000002</v>
      </c>
      <c r="AA12">
        <f t="shared" si="1"/>
        <v>1490.4</v>
      </c>
      <c r="AB12" s="2">
        <f t="shared" si="2"/>
        <v>0.81179778619998488</v>
      </c>
    </row>
    <row r="13" spans="1:28">
      <c r="A13" s="1">
        <v>11</v>
      </c>
      <c r="B13">
        <v>70.599999999999994</v>
      </c>
      <c r="C13">
        <v>0.1</v>
      </c>
      <c r="D13" s="2">
        <f t="shared" si="3"/>
        <v>7.06</v>
      </c>
      <c r="E13">
        <v>14.7</v>
      </c>
      <c r="F13">
        <v>1</v>
      </c>
      <c r="G13" s="2">
        <f t="shared" si="4"/>
        <v>14.7</v>
      </c>
      <c r="H13">
        <v>240</v>
      </c>
      <c r="I13">
        <v>1</v>
      </c>
      <c r="J13" s="2">
        <f t="shared" si="5"/>
        <v>240</v>
      </c>
      <c r="K13">
        <v>3.8</v>
      </c>
      <c r="L13">
        <v>0.1</v>
      </c>
      <c r="M13" s="2">
        <f>K13*L13</f>
        <v>0.38</v>
      </c>
      <c r="N13">
        <v>1190</v>
      </c>
      <c r="O13">
        <v>1</v>
      </c>
      <c r="P13" s="2">
        <f t="shared" si="7"/>
        <v>1190</v>
      </c>
      <c r="Q13" s="3">
        <f t="shared" si="8"/>
        <v>2.0821529745042495</v>
      </c>
      <c r="R13" s="3">
        <f t="shared" si="9"/>
        <v>2.531244792534578</v>
      </c>
      <c r="S13" s="3">
        <f t="shared" si="10"/>
        <v>91.2</v>
      </c>
      <c r="T13" s="2">
        <v>0.40836319999999998</v>
      </c>
      <c r="U13" s="3">
        <f t="shared" si="11"/>
        <v>90.791636800000006</v>
      </c>
      <c r="W13">
        <f t="shared" si="0"/>
        <v>6.84</v>
      </c>
      <c r="X13" s="3">
        <v>0.95</v>
      </c>
      <c r="Y13">
        <v>2.57</v>
      </c>
      <c r="Z13">
        <f>Y13*W13^2</f>
        <v>120.23899199999998</v>
      </c>
      <c r="AA13">
        <f t="shared" si="1"/>
        <v>1573.2</v>
      </c>
      <c r="AB13" s="2">
        <f t="shared" si="2"/>
        <v>0.81495261211147474</v>
      </c>
    </row>
    <row r="14" spans="1:28">
      <c r="A14" s="1">
        <v>12</v>
      </c>
      <c r="B14">
        <v>80.900000000000006</v>
      </c>
      <c r="C14">
        <v>0.1</v>
      </c>
      <c r="D14" s="2">
        <f t="shared" si="3"/>
        <v>8.0900000000000016</v>
      </c>
      <c r="E14">
        <v>16.82</v>
      </c>
      <c r="F14">
        <v>1</v>
      </c>
      <c r="G14" s="2">
        <f t="shared" si="4"/>
        <v>16.82</v>
      </c>
      <c r="H14">
        <v>260</v>
      </c>
      <c r="I14">
        <v>1</v>
      </c>
      <c r="J14" s="2">
        <f t="shared" si="5"/>
        <v>260</v>
      </c>
      <c r="K14">
        <v>3.9</v>
      </c>
      <c r="L14">
        <v>0.1</v>
      </c>
      <c r="M14" s="2">
        <f t="shared" si="6"/>
        <v>0.39</v>
      </c>
      <c r="N14">
        <v>1287</v>
      </c>
      <c r="O14">
        <v>1</v>
      </c>
      <c r="P14" s="2">
        <f t="shared" si="7"/>
        <v>1287</v>
      </c>
      <c r="Q14" s="3">
        <f t="shared" si="8"/>
        <v>2.079110012360939</v>
      </c>
      <c r="R14" s="3">
        <f t="shared" si="9"/>
        <v>2.5275455052231024</v>
      </c>
      <c r="S14" s="3">
        <f t="shared" si="10"/>
        <v>101.4</v>
      </c>
      <c r="T14" s="2">
        <v>0.42907410000000001</v>
      </c>
      <c r="U14" s="3">
        <f t="shared" si="11"/>
        <v>100.97092590000001</v>
      </c>
      <c r="W14">
        <f t="shared" si="0"/>
        <v>7.2</v>
      </c>
      <c r="X14" s="3">
        <v>1</v>
      </c>
      <c r="Y14">
        <v>2.5569999999999999</v>
      </c>
      <c r="Z14">
        <f>Y14*W14^2</f>
        <v>132.55488</v>
      </c>
      <c r="AA14">
        <f t="shared" si="1"/>
        <v>1656</v>
      </c>
      <c r="AB14" s="2">
        <f t="shared" si="2"/>
        <v>0.81756182840949154</v>
      </c>
    </row>
    <row r="15" spans="1:28">
      <c r="A15" s="1">
        <v>13</v>
      </c>
      <c r="H15">
        <v>280</v>
      </c>
      <c r="I15">
        <v>1</v>
      </c>
      <c r="J15" s="2">
        <f t="shared" si="5"/>
        <v>280</v>
      </c>
      <c r="K15">
        <v>4</v>
      </c>
      <c r="L15">
        <v>0.1</v>
      </c>
      <c r="M15" s="2">
        <f t="shared" si="6"/>
        <v>0.4</v>
      </c>
      <c r="N15">
        <v>1386</v>
      </c>
      <c r="O15">
        <v>1</v>
      </c>
      <c r="P15" s="2">
        <f t="shared" si="7"/>
        <v>1386</v>
      </c>
      <c r="S15" s="3">
        <f t="shared" si="10"/>
        <v>112</v>
      </c>
      <c r="T15" s="2">
        <v>0.45023999999999997</v>
      </c>
      <c r="U15" s="3">
        <f t="shared" si="11"/>
        <v>111.54976000000001</v>
      </c>
      <c r="W15">
        <f t="shared" si="0"/>
        <v>7.5600000000000005</v>
      </c>
      <c r="X15" s="3">
        <v>1.05</v>
      </c>
      <c r="Y15">
        <v>2.5449999999999999</v>
      </c>
      <c r="Z15">
        <f>Y15*W15^2</f>
        <v>145.45591200000001</v>
      </c>
      <c r="AA15">
        <f t="shared" si="1"/>
        <v>1738.8</v>
      </c>
      <c r="AB15" s="2">
        <f t="shared" si="2"/>
        <v>0.819710806404639</v>
      </c>
    </row>
    <row r="16" spans="1:28">
      <c r="A16" s="1">
        <v>14</v>
      </c>
      <c r="H16">
        <v>300</v>
      </c>
      <c r="I16">
        <v>1</v>
      </c>
      <c r="J16" s="2">
        <f t="shared" si="5"/>
        <v>300</v>
      </c>
      <c r="K16">
        <v>4.0999999999999996</v>
      </c>
      <c r="L16">
        <v>0.1</v>
      </c>
      <c r="M16" s="2">
        <f t="shared" si="6"/>
        <v>0.41</v>
      </c>
      <c r="N16">
        <v>1491</v>
      </c>
      <c r="O16">
        <v>1</v>
      </c>
      <c r="P16" s="2">
        <f t="shared" si="7"/>
        <v>1491</v>
      </c>
      <c r="S16" s="3">
        <f t="shared" si="10"/>
        <v>122.99999999999999</v>
      </c>
      <c r="T16" s="2">
        <v>0.47185670000000002</v>
      </c>
      <c r="U16" s="3">
        <f t="shared" si="11"/>
        <v>122.52814329999998</v>
      </c>
      <c r="W16">
        <f t="shared" si="0"/>
        <v>7.9200000000000008</v>
      </c>
      <c r="X16" s="3">
        <v>1.1000000000000001</v>
      </c>
      <c r="Y16">
        <v>2.5329999999999999</v>
      </c>
      <c r="Z16">
        <f>Y16*W16^2</f>
        <v>158.88597120000003</v>
      </c>
      <c r="AA16">
        <f t="shared" si="1"/>
        <v>1821.6000000000001</v>
      </c>
      <c r="AB16" s="2">
        <f t="shared" si="2"/>
        <v>0.82147822048165464</v>
      </c>
    </row>
    <row r="17" spans="1:28">
      <c r="A17" s="1">
        <v>15</v>
      </c>
      <c r="H17">
        <v>321</v>
      </c>
      <c r="I17">
        <v>1</v>
      </c>
      <c r="J17" s="2">
        <f t="shared" si="5"/>
        <v>321</v>
      </c>
      <c r="K17">
        <v>4.2</v>
      </c>
      <c r="L17">
        <v>0.1</v>
      </c>
      <c r="M17" s="2">
        <f t="shared" si="6"/>
        <v>0.42000000000000004</v>
      </c>
      <c r="N17">
        <v>1591</v>
      </c>
      <c r="O17">
        <v>1</v>
      </c>
      <c r="P17" s="2">
        <f t="shared" si="7"/>
        <v>1591</v>
      </c>
      <c r="S17" s="3">
        <f t="shared" si="10"/>
        <v>134.82000000000002</v>
      </c>
      <c r="T17" s="2">
        <v>0.49392000000000003</v>
      </c>
      <c r="U17" s="3">
        <f t="shared" si="11"/>
        <v>134.32608000000002</v>
      </c>
      <c r="W17">
        <f t="shared" si="0"/>
        <v>8.2799999999999994</v>
      </c>
      <c r="X17" s="3">
        <v>1.1499999999999999</v>
      </c>
      <c r="Y17">
        <v>2.5249999999999999</v>
      </c>
      <c r="Z17">
        <f>Y17*W17^2</f>
        <v>173.10995999999997</v>
      </c>
      <c r="AA17">
        <f t="shared" si="1"/>
        <v>1904.4</v>
      </c>
      <c r="AB17" s="2">
        <f t="shared" si="2"/>
        <v>0.82281627179752392</v>
      </c>
    </row>
    <row r="18" spans="1:28">
      <c r="W18">
        <f t="shared" si="0"/>
        <v>8.64</v>
      </c>
      <c r="X18" s="3">
        <v>1.2</v>
      </c>
      <c r="Y18">
        <v>2.5139999999999998</v>
      </c>
      <c r="Z18">
        <f>Y18*W18^2</f>
        <v>187.66909440000001</v>
      </c>
      <c r="AA18">
        <f t="shared" si="1"/>
        <v>1987.2</v>
      </c>
      <c r="AB18" s="2">
        <f t="shared" si="2"/>
        <v>0.82393214592655073</v>
      </c>
    </row>
    <row r="19" spans="1:28">
      <c r="W19">
        <f t="shared" si="0"/>
        <v>9</v>
      </c>
      <c r="X19" s="3">
        <v>1.25</v>
      </c>
      <c r="Y19">
        <v>2.5019999999999998</v>
      </c>
      <c r="Z19">
        <f>Y19*W19^2</f>
        <v>202.66199999999998</v>
      </c>
      <c r="AA19">
        <f t="shared" si="1"/>
        <v>2070</v>
      </c>
      <c r="AB19" s="2">
        <f t="shared" si="2"/>
        <v>0.82481883870289074</v>
      </c>
    </row>
  </sheetData>
  <mergeCells count="6">
    <mergeCell ref="N1:P1"/>
    <mergeCell ref="A1:A2"/>
    <mergeCell ref="B1:D1"/>
    <mergeCell ref="E1:G1"/>
    <mergeCell ref="H1:J1"/>
    <mergeCell ref="K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2020-07-06T13:01:20Z</dcterms:modified>
</cp:coreProperties>
</file>