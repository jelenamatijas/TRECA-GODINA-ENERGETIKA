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Y4" i="1"/>
  <c r="Y5"/>
  <c r="Y6"/>
  <c r="Y7"/>
  <c r="Y8"/>
  <c r="Y9"/>
  <c r="Y10"/>
  <c r="Y11"/>
  <c r="Y12"/>
  <c r="Y13"/>
  <c r="Y14"/>
  <c r="Y15"/>
  <c r="Y3"/>
  <c r="W4"/>
  <c r="W5"/>
  <c r="W6"/>
  <c r="W7"/>
  <c r="W8"/>
  <c r="W9"/>
  <c r="W10"/>
  <c r="W11"/>
  <c r="W12"/>
  <c r="W13"/>
  <c r="W14"/>
  <c r="W15"/>
  <c r="W3"/>
  <c r="V4"/>
  <c r="V5"/>
  <c r="V6"/>
  <c r="V7"/>
  <c r="V8"/>
  <c r="V9"/>
  <c r="V10"/>
  <c r="V11"/>
  <c r="V12"/>
  <c r="V13"/>
  <c r="V14"/>
  <c r="V15"/>
  <c r="V3"/>
  <c r="U4"/>
  <c r="U5"/>
  <c r="U6"/>
  <c r="U7"/>
  <c r="U8"/>
  <c r="U9"/>
  <c r="U10"/>
  <c r="U11"/>
  <c r="U12"/>
  <c r="U13"/>
  <c r="U14"/>
  <c r="U15"/>
  <c r="U3"/>
  <c r="T4"/>
  <c r="T5"/>
  <c r="T6"/>
  <c r="T7"/>
  <c r="T8"/>
  <c r="T9"/>
  <c r="T10"/>
  <c r="T11"/>
  <c r="T12"/>
  <c r="T13"/>
  <c r="T14"/>
  <c r="T15"/>
  <c r="T3"/>
  <c r="S4"/>
  <c r="S5"/>
  <c r="S6"/>
  <c r="S7"/>
  <c r="S8"/>
  <c r="S9"/>
  <c r="S10"/>
  <c r="S11"/>
  <c r="S12"/>
  <c r="S13"/>
  <c r="S14"/>
  <c r="S15"/>
  <c r="S3"/>
  <c r="P4"/>
  <c r="P5"/>
  <c r="P6"/>
  <c r="P7"/>
  <c r="P8"/>
  <c r="P9"/>
  <c r="P10"/>
  <c r="P11"/>
  <c r="P12"/>
  <c r="P13"/>
  <c r="P14"/>
  <c r="P15"/>
  <c r="P3"/>
  <c r="M4"/>
  <c r="M5"/>
  <c r="M6"/>
  <c r="M7"/>
  <c r="M8"/>
  <c r="M9"/>
  <c r="M10"/>
  <c r="M11"/>
  <c r="M12"/>
  <c r="M13"/>
  <c r="M14"/>
  <c r="M15"/>
  <c r="M3"/>
  <c r="J4"/>
  <c r="J5"/>
  <c r="J6"/>
  <c r="J7"/>
  <c r="J8"/>
  <c r="J9"/>
  <c r="J10"/>
  <c r="J11"/>
  <c r="J12"/>
  <c r="J13"/>
  <c r="J14"/>
  <c r="J15"/>
  <c r="J3"/>
  <c r="G4"/>
  <c r="G5"/>
  <c r="G6"/>
  <c r="G7"/>
  <c r="G8"/>
  <c r="G9"/>
  <c r="G10"/>
  <c r="G11"/>
  <c r="G12"/>
  <c r="G13"/>
  <c r="G14"/>
  <c r="G15"/>
  <c r="G3"/>
  <c r="D4"/>
  <c r="D5"/>
  <c r="D6"/>
  <c r="D7"/>
  <c r="D8"/>
  <c r="D9"/>
  <c r="D10"/>
  <c r="D11"/>
  <c r="D12"/>
  <c r="D13"/>
  <c r="D14"/>
  <c r="D15"/>
  <c r="D3"/>
</calcChain>
</file>

<file path=xl/sharedStrings.xml><?xml version="1.0" encoding="utf-8"?>
<sst xmlns="http://schemas.openxmlformats.org/spreadsheetml/2006/main" count="25" uniqueCount="15">
  <si>
    <t>RBM</t>
  </si>
  <si>
    <t>P10[W]</t>
  </si>
  <si>
    <t>P20[W]</t>
  </si>
  <si>
    <t>Ia0[A]</t>
  </si>
  <si>
    <t>Ico[A]</t>
  </si>
  <si>
    <t>Ip0[A]</t>
  </si>
  <si>
    <t>E0[V]</t>
  </si>
  <si>
    <t>α</t>
  </si>
  <si>
    <t>k</t>
  </si>
  <si>
    <t>E0sv[V]</t>
  </si>
  <si>
    <t>I0[A]</t>
  </si>
  <si>
    <t>P0[W]</t>
  </si>
  <si>
    <t>Pcus0[W]</t>
  </si>
  <si>
    <t>Pfv+Pfe[W]</t>
  </si>
  <si>
    <t>Pfv+Pfe(AM)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</si>
</sst>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"/>
  <sheetViews>
    <sheetView tabSelected="1" workbookViewId="0">
      <selection activeCell="V17" sqref="V17"/>
    </sheetView>
  </sheetViews>
  <sheetFormatPr defaultRowHeight="15"/>
  <cols>
    <col min="1" max="1" width="5.140625" bestFit="1" customWidth="1"/>
    <col min="2" max="2" width="6" bestFit="1" customWidth="1"/>
    <col min="3" max="3" width="2" bestFit="1" customWidth="1"/>
    <col min="4" max="5" width="6" bestFit="1" customWidth="1"/>
    <col min="6" max="6" width="2" bestFit="1" customWidth="1"/>
    <col min="7" max="7" width="6" bestFit="1" customWidth="1"/>
    <col min="8" max="8" width="5" bestFit="1" customWidth="1"/>
    <col min="9" max="9" width="2" bestFit="1" customWidth="1"/>
    <col min="10" max="11" width="5" bestFit="1" customWidth="1"/>
    <col min="12" max="12" width="2" bestFit="1" customWidth="1"/>
    <col min="13" max="13" width="5" bestFit="1" customWidth="1"/>
    <col min="14" max="14" width="6" bestFit="1" customWidth="1"/>
    <col min="15" max="15" width="2" bestFit="1" customWidth="1"/>
    <col min="16" max="16" width="6" bestFit="1" customWidth="1"/>
    <col min="17" max="17" width="4" bestFit="1" customWidth="1"/>
    <col min="18" max="18" width="2" bestFit="1" customWidth="1"/>
    <col min="19" max="19" width="4" bestFit="1" customWidth="1"/>
    <col min="20" max="20" width="7.5703125" bestFit="1" customWidth="1"/>
    <col min="21" max="21" width="6.5703125" bestFit="1" customWidth="1"/>
    <col min="22" max="22" width="6" bestFit="1" customWidth="1"/>
    <col min="24" max="24" width="12.140625" customWidth="1"/>
    <col min="25" max="25" width="10.85546875" customWidth="1"/>
    <col min="27" max="27" width="10.140625" customWidth="1"/>
  </cols>
  <sheetData>
    <row r="1" spans="1:27">
      <c r="A1" s="5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  <c r="L1" s="4"/>
      <c r="M1" s="4"/>
      <c r="N1" s="4" t="s">
        <v>5</v>
      </c>
      <c r="O1" s="4"/>
      <c r="P1" s="4"/>
      <c r="Q1" s="4" t="s">
        <v>6</v>
      </c>
      <c r="R1" s="4"/>
      <c r="S1" s="4"/>
      <c r="T1" s="3" t="s">
        <v>9</v>
      </c>
      <c r="U1" s="3" t="s">
        <v>11</v>
      </c>
      <c r="V1" s="3" t="s">
        <v>10</v>
      </c>
      <c r="W1" s="3" t="s">
        <v>12</v>
      </c>
      <c r="X1" s="3" t="s">
        <v>14</v>
      </c>
      <c r="Y1" s="3" t="s">
        <v>13</v>
      </c>
      <c r="Z1" s="3"/>
      <c r="AA1" s="3"/>
    </row>
    <row r="2" spans="1:27">
      <c r="A2" s="5"/>
      <c r="B2" s="3" t="s">
        <v>7</v>
      </c>
      <c r="C2" s="3" t="s">
        <v>8</v>
      </c>
      <c r="D2" s="3"/>
      <c r="E2" s="3" t="s">
        <v>7</v>
      </c>
      <c r="F2" s="3" t="s">
        <v>8</v>
      </c>
      <c r="G2" s="3"/>
      <c r="H2" s="3" t="s">
        <v>7</v>
      </c>
      <c r="I2" s="3" t="s">
        <v>8</v>
      </c>
      <c r="J2" s="3"/>
      <c r="K2" s="3" t="s">
        <v>7</v>
      </c>
      <c r="L2" s="3" t="s">
        <v>8</v>
      </c>
      <c r="M2" s="3"/>
      <c r="N2" s="3" t="s">
        <v>7</v>
      </c>
      <c r="O2" s="3" t="s">
        <v>8</v>
      </c>
      <c r="P2" s="3"/>
      <c r="Q2" s="3" t="s">
        <v>7</v>
      </c>
      <c r="R2" s="3" t="s">
        <v>8</v>
      </c>
      <c r="S2" s="3"/>
      <c r="T2" s="3"/>
      <c r="U2" s="3"/>
      <c r="V2" s="3"/>
    </row>
    <row r="3" spans="1:27">
      <c r="A3" s="3">
        <v>1</v>
      </c>
      <c r="B3">
        <v>797.5</v>
      </c>
      <c r="C3">
        <v>1</v>
      </c>
      <c r="D3" s="1">
        <f>B3*C3</f>
        <v>797.5</v>
      </c>
      <c r="E3">
        <v>359</v>
      </c>
      <c r="F3">
        <v>1</v>
      </c>
      <c r="G3" s="1">
        <f>E3*F3</f>
        <v>359</v>
      </c>
      <c r="H3">
        <v>3.16</v>
      </c>
      <c r="I3">
        <v>1</v>
      </c>
      <c r="J3" s="1">
        <f>H3*I3</f>
        <v>3.16</v>
      </c>
      <c r="K3">
        <v>2.98</v>
      </c>
      <c r="L3">
        <v>1</v>
      </c>
      <c r="M3" s="1">
        <f>K3*L3</f>
        <v>2.98</v>
      </c>
      <c r="N3">
        <v>0</v>
      </c>
      <c r="O3">
        <v>1</v>
      </c>
      <c r="P3" s="1">
        <f>N3*O3</f>
        <v>0</v>
      </c>
      <c r="Q3">
        <v>5</v>
      </c>
      <c r="R3">
        <v>1</v>
      </c>
      <c r="S3" s="1">
        <f>Q3*R3</f>
        <v>5</v>
      </c>
      <c r="T3" s="2">
        <f>S3*1415/1496</f>
        <v>4.7292780748663104</v>
      </c>
      <c r="U3" s="1">
        <f>D3-G3</f>
        <v>438.5</v>
      </c>
      <c r="V3" s="1">
        <f>(J3+M3)/2</f>
        <v>3.0700000000000003</v>
      </c>
      <c r="W3" s="2">
        <f>3*3.15*V3^2</f>
        <v>89.065305000000009</v>
      </c>
      <c r="X3" s="1">
        <v>285</v>
      </c>
      <c r="Y3" s="2">
        <f>U3-W3-X3</f>
        <v>64.434694999999977</v>
      </c>
    </row>
    <row r="4" spans="1:27">
      <c r="A4" s="3">
        <v>2</v>
      </c>
      <c r="B4">
        <v>800</v>
      </c>
      <c r="C4">
        <v>1</v>
      </c>
      <c r="D4" s="1">
        <f t="shared" ref="D4:D15" si="0">B4*C4</f>
        <v>800</v>
      </c>
      <c r="E4">
        <v>348.5</v>
      </c>
      <c r="F4">
        <v>1</v>
      </c>
      <c r="G4" s="1">
        <f t="shared" ref="G4:G15" si="1">E4*F4</f>
        <v>348.5</v>
      </c>
      <c r="H4">
        <v>3.15</v>
      </c>
      <c r="I4">
        <v>1</v>
      </c>
      <c r="J4" s="1">
        <f t="shared" ref="J4:J15" si="2">H4*I4</f>
        <v>3.15</v>
      </c>
      <c r="K4">
        <v>3</v>
      </c>
      <c r="L4">
        <v>1</v>
      </c>
      <c r="M4" s="1">
        <f t="shared" ref="M4:M15" si="3">K4*L4</f>
        <v>3</v>
      </c>
      <c r="N4">
        <v>0.1</v>
      </c>
      <c r="O4">
        <v>1</v>
      </c>
      <c r="P4" s="1">
        <f t="shared" ref="P4:P15" si="4">N4*O4</f>
        <v>0.1</v>
      </c>
      <c r="Q4">
        <v>139</v>
      </c>
      <c r="R4">
        <v>1</v>
      </c>
      <c r="S4" s="1">
        <f t="shared" ref="S4:S15" si="5">Q4*R4</f>
        <v>139</v>
      </c>
      <c r="T4" s="2">
        <f t="shared" ref="T4:T15" si="6">S4*1415/1496</f>
        <v>131.47393048128342</v>
      </c>
      <c r="U4" s="1">
        <f t="shared" ref="U4:U15" si="7">D4-G4</f>
        <v>451.5</v>
      </c>
      <c r="V4" s="1">
        <f t="shared" ref="V4:V15" si="8">(J4+M4)/2</f>
        <v>3.0750000000000002</v>
      </c>
      <c r="W4" s="2">
        <f t="shared" ref="W4:W15" si="9">3*3.15*V4^2</f>
        <v>89.35565625000001</v>
      </c>
      <c r="X4" s="1">
        <v>285</v>
      </c>
      <c r="Y4" s="2">
        <f t="shared" ref="Y4:Y15" si="10">U4-W4-X4</f>
        <v>77.144343749999962</v>
      </c>
    </row>
    <row r="5" spans="1:27">
      <c r="A5" s="3">
        <v>3</v>
      </c>
      <c r="B5">
        <v>810.5</v>
      </c>
      <c r="C5">
        <v>1</v>
      </c>
      <c r="D5" s="1">
        <f t="shared" si="0"/>
        <v>810.5</v>
      </c>
      <c r="E5">
        <v>343</v>
      </c>
      <c r="F5">
        <v>1</v>
      </c>
      <c r="G5" s="1">
        <f t="shared" si="1"/>
        <v>343</v>
      </c>
      <c r="H5">
        <v>3.16</v>
      </c>
      <c r="I5">
        <v>1</v>
      </c>
      <c r="J5" s="1">
        <f t="shared" si="2"/>
        <v>3.16</v>
      </c>
      <c r="K5">
        <v>3</v>
      </c>
      <c r="L5">
        <v>1</v>
      </c>
      <c r="M5" s="1">
        <f t="shared" si="3"/>
        <v>3</v>
      </c>
      <c r="N5">
        <v>0.2</v>
      </c>
      <c r="O5">
        <v>1</v>
      </c>
      <c r="P5" s="1">
        <f t="shared" si="4"/>
        <v>0.2</v>
      </c>
      <c r="Q5">
        <v>217</v>
      </c>
      <c r="R5">
        <v>1</v>
      </c>
      <c r="S5" s="1">
        <f t="shared" si="5"/>
        <v>217</v>
      </c>
      <c r="T5" s="2">
        <f t="shared" si="6"/>
        <v>205.25066844919786</v>
      </c>
      <c r="U5" s="1">
        <f t="shared" si="7"/>
        <v>467.5</v>
      </c>
      <c r="V5" s="1">
        <f t="shared" si="8"/>
        <v>3.08</v>
      </c>
      <c r="W5" s="2">
        <f t="shared" si="9"/>
        <v>89.646479999999997</v>
      </c>
      <c r="X5" s="1">
        <v>285</v>
      </c>
      <c r="Y5" s="2">
        <f t="shared" si="10"/>
        <v>92.853520000000003</v>
      </c>
    </row>
    <row r="6" spans="1:27">
      <c r="A6" s="3">
        <v>4</v>
      </c>
      <c r="B6">
        <v>815.5</v>
      </c>
      <c r="C6">
        <v>1</v>
      </c>
      <c r="D6" s="1">
        <f t="shared" si="0"/>
        <v>815.5</v>
      </c>
      <c r="E6">
        <v>338</v>
      </c>
      <c r="F6">
        <v>1</v>
      </c>
      <c r="G6" s="1">
        <f t="shared" si="1"/>
        <v>338</v>
      </c>
      <c r="H6">
        <v>3.17</v>
      </c>
      <c r="I6">
        <v>1</v>
      </c>
      <c r="J6" s="1">
        <f t="shared" si="2"/>
        <v>3.17</v>
      </c>
      <c r="K6">
        <v>2.97</v>
      </c>
      <c r="L6">
        <v>1</v>
      </c>
      <c r="M6" s="1">
        <f t="shared" si="3"/>
        <v>2.97</v>
      </c>
      <c r="N6">
        <v>0.3</v>
      </c>
      <c r="O6">
        <v>1</v>
      </c>
      <c r="P6" s="1">
        <f t="shared" si="4"/>
        <v>0.3</v>
      </c>
      <c r="Q6">
        <v>258</v>
      </c>
      <c r="R6">
        <v>1</v>
      </c>
      <c r="S6" s="1">
        <f t="shared" si="5"/>
        <v>258</v>
      </c>
      <c r="T6" s="2">
        <f t="shared" si="6"/>
        <v>244.0307486631016</v>
      </c>
      <c r="U6" s="1">
        <f t="shared" si="7"/>
        <v>477.5</v>
      </c>
      <c r="V6" s="1">
        <f t="shared" si="8"/>
        <v>3.0700000000000003</v>
      </c>
      <c r="W6" s="2">
        <f t="shared" si="9"/>
        <v>89.065305000000009</v>
      </c>
      <c r="X6" s="1">
        <v>285</v>
      </c>
      <c r="Y6" s="2">
        <f t="shared" si="10"/>
        <v>103.43469499999998</v>
      </c>
    </row>
    <row r="7" spans="1:27">
      <c r="A7" s="3">
        <v>5</v>
      </c>
      <c r="B7">
        <v>829</v>
      </c>
      <c r="C7">
        <v>1</v>
      </c>
      <c r="D7" s="1">
        <f t="shared" si="0"/>
        <v>829</v>
      </c>
      <c r="E7">
        <v>339</v>
      </c>
      <c r="F7">
        <v>1</v>
      </c>
      <c r="G7" s="1">
        <f t="shared" si="1"/>
        <v>339</v>
      </c>
      <c r="H7">
        <v>3.19</v>
      </c>
      <c r="I7">
        <v>1</v>
      </c>
      <c r="J7" s="1">
        <f t="shared" si="2"/>
        <v>3.19</v>
      </c>
      <c r="K7">
        <v>2.99</v>
      </c>
      <c r="L7">
        <v>1</v>
      </c>
      <c r="M7" s="1">
        <f t="shared" si="3"/>
        <v>2.99</v>
      </c>
      <c r="N7">
        <v>0.4</v>
      </c>
      <c r="O7">
        <v>1</v>
      </c>
      <c r="P7" s="1">
        <f t="shared" si="4"/>
        <v>0.4</v>
      </c>
      <c r="Q7">
        <v>283</v>
      </c>
      <c r="R7">
        <v>1</v>
      </c>
      <c r="S7" s="1">
        <f t="shared" si="5"/>
        <v>283</v>
      </c>
      <c r="T7" s="2">
        <f t="shared" si="6"/>
        <v>267.67713903743316</v>
      </c>
      <c r="U7" s="1">
        <f t="shared" si="7"/>
        <v>490</v>
      </c>
      <c r="V7" s="1">
        <f t="shared" si="8"/>
        <v>3.09</v>
      </c>
      <c r="W7" s="2">
        <f t="shared" si="9"/>
        <v>90.229544999999987</v>
      </c>
      <c r="X7" s="1">
        <v>285</v>
      </c>
      <c r="Y7" s="2">
        <f t="shared" si="10"/>
        <v>114.77045500000003</v>
      </c>
    </row>
    <row r="8" spans="1:27">
      <c r="A8" s="3">
        <v>6</v>
      </c>
      <c r="B8">
        <v>829.5</v>
      </c>
      <c r="C8">
        <v>1</v>
      </c>
      <c r="D8" s="1">
        <f t="shared" si="0"/>
        <v>829.5</v>
      </c>
      <c r="E8">
        <v>330.5</v>
      </c>
      <c r="F8">
        <v>1</v>
      </c>
      <c r="G8" s="1">
        <f t="shared" si="1"/>
        <v>330.5</v>
      </c>
      <c r="H8">
        <v>3.16</v>
      </c>
      <c r="I8">
        <v>1</v>
      </c>
      <c r="J8" s="1">
        <f t="shared" si="2"/>
        <v>3.16</v>
      </c>
      <c r="K8">
        <v>2.99</v>
      </c>
      <c r="L8">
        <v>1</v>
      </c>
      <c r="M8" s="1">
        <f t="shared" si="3"/>
        <v>2.99</v>
      </c>
      <c r="N8">
        <v>0.5</v>
      </c>
      <c r="O8">
        <v>1</v>
      </c>
      <c r="P8" s="1">
        <f t="shared" si="4"/>
        <v>0.5</v>
      </c>
      <c r="Q8">
        <v>300</v>
      </c>
      <c r="R8">
        <v>1</v>
      </c>
      <c r="S8" s="1">
        <f t="shared" si="5"/>
        <v>300</v>
      </c>
      <c r="T8" s="2">
        <f t="shared" si="6"/>
        <v>283.7566844919786</v>
      </c>
      <c r="U8" s="1">
        <f t="shared" si="7"/>
        <v>499</v>
      </c>
      <c r="V8" s="1">
        <f t="shared" si="8"/>
        <v>3.0750000000000002</v>
      </c>
      <c r="W8" s="2">
        <f t="shared" si="9"/>
        <v>89.35565625000001</v>
      </c>
      <c r="X8" s="1">
        <v>285</v>
      </c>
      <c r="Y8" s="2">
        <f t="shared" si="10"/>
        <v>124.64434374999996</v>
      </c>
    </row>
    <row r="9" spans="1:27">
      <c r="A9" s="3">
        <v>7</v>
      </c>
      <c r="B9">
        <v>837.5</v>
      </c>
      <c r="C9">
        <v>1</v>
      </c>
      <c r="D9" s="1">
        <f t="shared" si="0"/>
        <v>837.5</v>
      </c>
      <c r="E9">
        <v>332</v>
      </c>
      <c r="F9">
        <v>1</v>
      </c>
      <c r="G9" s="1">
        <f t="shared" si="1"/>
        <v>332</v>
      </c>
      <c r="H9">
        <v>3.16</v>
      </c>
      <c r="I9">
        <v>1</v>
      </c>
      <c r="J9" s="1">
        <f t="shared" si="2"/>
        <v>3.16</v>
      </c>
      <c r="K9">
        <v>2.99</v>
      </c>
      <c r="L9">
        <v>1</v>
      </c>
      <c r="M9" s="1">
        <f t="shared" si="3"/>
        <v>2.99</v>
      </c>
      <c r="N9">
        <v>0.59</v>
      </c>
      <c r="O9">
        <v>1</v>
      </c>
      <c r="P9" s="1">
        <f t="shared" si="4"/>
        <v>0.59</v>
      </c>
      <c r="Q9">
        <v>312</v>
      </c>
      <c r="R9">
        <v>1</v>
      </c>
      <c r="S9" s="1">
        <f t="shared" si="5"/>
        <v>312</v>
      </c>
      <c r="T9" s="2">
        <f t="shared" si="6"/>
        <v>295.10695187165777</v>
      </c>
      <c r="U9" s="1">
        <f t="shared" si="7"/>
        <v>505.5</v>
      </c>
      <c r="V9" s="1">
        <f t="shared" si="8"/>
        <v>3.0750000000000002</v>
      </c>
      <c r="W9" s="2">
        <f t="shared" si="9"/>
        <v>89.35565625000001</v>
      </c>
      <c r="X9" s="1">
        <v>285</v>
      </c>
      <c r="Y9" s="2">
        <f t="shared" si="10"/>
        <v>131.14434374999996</v>
      </c>
    </row>
    <row r="10" spans="1:27">
      <c r="A10" s="3">
        <v>8</v>
      </c>
      <c r="B10">
        <v>823</v>
      </c>
      <c r="C10">
        <v>1</v>
      </c>
      <c r="D10" s="1">
        <f t="shared" si="0"/>
        <v>823</v>
      </c>
      <c r="E10">
        <v>333</v>
      </c>
      <c r="F10">
        <v>1</v>
      </c>
      <c r="G10" s="1">
        <f t="shared" si="1"/>
        <v>333</v>
      </c>
      <c r="H10">
        <v>3.15</v>
      </c>
      <c r="I10">
        <v>1</v>
      </c>
      <c r="J10" s="1">
        <f t="shared" si="2"/>
        <v>3.15</v>
      </c>
      <c r="K10">
        <v>2.98</v>
      </c>
      <c r="L10">
        <v>1</v>
      </c>
      <c r="M10" s="1">
        <f t="shared" si="3"/>
        <v>2.98</v>
      </c>
      <c r="N10">
        <v>0.5</v>
      </c>
      <c r="O10">
        <v>1</v>
      </c>
      <c r="P10" s="1">
        <f t="shared" si="4"/>
        <v>0.5</v>
      </c>
      <c r="Q10">
        <v>302</v>
      </c>
      <c r="R10">
        <v>1</v>
      </c>
      <c r="S10" s="1">
        <f t="shared" si="5"/>
        <v>302</v>
      </c>
      <c r="T10" s="2">
        <f t="shared" si="6"/>
        <v>285.64839572192511</v>
      </c>
      <c r="U10" s="1">
        <f t="shared" si="7"/>
        <v>490</v>
      </c>
      <c r="V10" s="1">
        <f t="shared" si="8"/>
        <v>3.0649999999999999</v>
      </c>
      <c r="W10" s="2">
        <f t="shared" si="9"/>
        <v>88.775426249999995</v>
      </c>
      <c r="X10" s="1">
        <v>285</v>
      </c>
      <c r="Y10" s="2">
        <f t="shared" si="10"/>
        <v>116.22457374999999</v>
      </c>
    </row>
    <row r="11" spans="1:27">
      <c r="A11" s="3">
        <v>9</v>
      </c>
      <c r="B11">
        <v>815</v>
      </c>
      <c r="C11">
        <v>1</v>
      </c>
      <c r="D11" s="1">
        <f t="shared" si="0"/>
        <v>815</v>
      </c>
      <c r="E11">
        <v>330.5</v>
      </c>
      <c r="F11">
        <v>1</v>
      </c>
      <c r="G11" s="1">
        <f t="shared" si="1"/>
        <v>330.5</v>
      </c>
      <c r="H11">
        <v>3.16</v>
      </c>
      <c r="I11">
        <v>1</v>
      </c>
      <c r="J11" s="1">
        <f t="shared" si="2"/>
        <v>3.16</v>
      </c>
      <c r="K11">
        <v>2.97</v>
      </c>
      <c r="L11">
        <v>1</v>
      </c>
      <c r="M11" s="1">
        <f t="shared" si="3"/>
        <v>2.97</v>
      </c>
      <c r="N11">
        <v>0.4</v>
      </c>
      <c r="O11">
        <v>1</v>
      </c>
      <c r="P11" s="1">
        <f t="shared" si="4"/>
        <v>0.4</v>
      </c>
      <c r="Q11">
        <v>287</v>
      </c>
      <c r="R11">
        <v>1</v>
      </c>
      <c r="S11" s="1">
        <f t="shared" si="5"/>
        <v>287</v>
      </c>
      <c r="T11" s="2">
        <f t="shared" si="6"/>
        <v>271.46056149732618</v>
      </c>
      <c r="U11" s="1">
        <f t="shared" si="7"/>
        <v>484.5</v>
      </c>
      <c r="V11" s="1">
        <f t="shared" si="8"/>
        <v>3.0650000000000004</v>
      </c>
      <c r="W11" s="2">
        <f t="shared" si="9"/>
        <v>88.77542625000001</v>
      </c>
      <c r="X11" s="1">
        <v>285</v>
      </c>
      <c r="Y11" s="2">
        <f t="shared" si="10"/>
        <v>110.72457374999999</v>
      </c>
    </row>
    <row r="12" spans="1:27">
      <c r="A12" s="3">
        <v>10</v>
      </c>
      <c r="B12">
        <v>811</v>
      </c>
      <c r="C12">
        <v>1</v>
      </c>
      <c r="D12" s="1">
        <f t="shared" si="0"/>
        <v>811</v>
      </c>
      <c r="E12">
        <v>338</v>
      </c>
      <c r="F12">
        <v>1</v>
      </c>
      <c r="G12" s="1">
        <f t="shared" si="1"/>
        <v>338</v>
      </c>
      <c r="H12">
        <v>3.15</v>
      </c>
      <c r="I12">
        <v>1</v>
      </c>
      <c r="J12" s="1">
        <f t="shared" si="2"/>
        <v>3.15</v>
      </c>
      <c r="K12">
        <v>2.97</v>
      </c>
      <c r="L12">
        <v>1</v>
      </c>
      <c r="M12" s="1">
        <f t="shared" si="3"/>
        <v>2.97</v>
      </c>
      <c r="N12">
        <v>0.3</v>
      </c>
      <c r="O12">
        <v>1</v>
      </c>
      <c r="P12" s="1">
        <f t="shared" si="4"/>
        <v>0.3</v>
      </c>
      <c r="Q12">
        <v>265</v>
      </c>
      <c r="R12">
        <v>1</v>
      </c>
      <c r="S12" s="1">
        <f t="shared" si="5"/>
        <v>265</v>
      </c>
      <c r="T12" s="2">
        <f t="shared" si="6"/>
        <v>250.65173796791444</v>
      </c>
      <c r="U12" s="1">
        <f t="shared" si="7"/>
        <v>473</v>
      </c>
      <c r="V12" s="1">
        <f t="shared" si="8"/>
        <v>3.06</v>
      </c>
      <c r="W12" s="2">
        <f t="shared" si="9"/>
        <v>88.486019999999996</v>
      </c>
      <c r="X12" s="1">
        <v>285</v>
      </c>
      <c r="Y12" s="2">
        <f t="shared" si="10"/>
        <v>99.513980000000004</v>
      </c>
    </row>
    <row r="13" spans="1:27">
      <c r="A13" s="3">
        <v>11</v>
      </c>
      <c r="B13">
        <v>822.5</v>
      </c>
      <c r="C13">
        <v>1</v>
      </c>
      <c r="D13" s="1">
        <f t="shared" si="0"/>
        <v>822.5</v>
      </c>
      <c r="E13">
        <v>356</v>
      </c>
      <c r="F13">
        <v>1</v>
      </c>
      <c r="G13" s="1">
        <f t="shared" si="1"/>
        <v>356</v>
      </c>
      <c r="H13">
        <v>3.17</v>
      </c>
      <c r="I13">
        <v>1</v>
      </c>
      <c r="J13" s="1">
        <f t="shared" si="2"/>
        <v>3.17</v>
      </c>
      <c r="K13">
        <v>2.98</v>
      </c>
      <c r="L13">
        <v>1</v>
      </c>
      <c r="M13" s="1">
        <f t="shared" si="3"/>
        <v>2.98</v>
      </c>
      <c r="N13">
        <v>0.2</v>
      </c>
      <c r="O13">
        <v>1</v>
      </c>
      <c r="P13" s="1">
        <f t="shared" si="4"/>
        <v>0.2</v>
      </c>
      <c r="Q13">
        <v>228</v>
      </c>
      <c r="R13">
        <v>1</v>
      </c>
      <c r="S13" s="1">
        <f t="shared" si="5"/>
        <v>228</v>
      </c>
      <c r="T13" s="2">
        <f t="shared" si="6"/>
        <v>215.65508021390374</v>
      </c>
      <c r="U13" s="1">
        <f t="shared" si="7"/>
        <v>466.5</v>
      </c>
      <c r="V13" s="1">
        <f t="shared" si="8"/>
        <v>3.0750000000000002</v>
      </c>
      <c r="W13" s="2">
        <f t="shared" si="9"/>
        <v>89.35565625000001</v>
      </c>
      <c r="X13" s="1">
        <v>285</v>
      </c>
      <c r="Y13" s="2">
        <f t="shared" si="10"/>
        <v>92.144343749999962</v>
      </c>
    </row>
    <row r="14" spans="1:27">
      <c r="A14" s="3">
        <v>12</v>
      </c>
      <c r="B14">
        <v>800.5</v>
      </c>
      <c r="C14">
        <v>1</v>
      </c>
      <c r="D14" s="1">
        <f t="shared" si="0"/>
        <v>800.5</v>
      </c>
      <c r="E14">
        <v>353</v>
      </c>
      <c r="F14">
        <v>1</v>
      </c>
      <c r="G14" s="1">
        <f t="shared" si="1"/>
        <v>353</v>
      </c>
      <c r="H14">
        <v>3.19</v>
      </c>
      <c r="I14">
        <v>1</v>
      </c>
      <c r="J14" s="1">
        <f t="shared" si="2"/>
        <v>3.19</v>
      </c>
      <c r="K14">
        <v>2.96</v>
      </c>
      <c r="L14">
        <v>1</v>
      </c>
      <c r="M14" s="1">
        <f t="shared" si="3"/>
        <v>2.96</v>
      </c>
      <c r="N14">
        <v>9.8000000000000004E-2</v>
      </c>
      <c r="O14">
        <v>1</v>
      </c>
      <c r="P14" s="1">
        <f t="shared" si="4"/>
        <v>9.8000000000000004E-2</v>
      </c>
      <c r="Q14">
        <v>159</v>
      </c>
      <c r="R14">
        <v>1</v>
      </c>
      <c r="S14" s="1">
        <f t="shared" si="5"/>
        <v>159</v>
      </c>
      <c r="T14" s="2">
        <f t="shared" si="6"/>
        <v>150.39104278074868</v>
      </c>
      <c r="U14" s="1">
        <f t="shared" si="7"/>
        <v>447.5</v>
      </c>
      <c r="V14" s="1">
        <f t="shared" si="8"/>
        <v>3.0750000000000002</v>
      </c>
      <c r="W14" s="2">
        <f t="shared" si="9"/>
        <v>89.35565625000001</v>
      </c>
      <c r="X14" s="1">
        <v>285</v>
      </c>
      <c r="Y14" s="2">
        <f t="shared" si="10"/>
        <v>73.144343749999962</v>
      </c>
    </row>
    <row r="15" spans="1:27">
      <c r="A15" s="3">
        <v>13</v>
      </c>
      <c r="B15">
        <v>805</v>
      </c>
      <c r="C15">
        <v>1</v>
      </c>
      <c r="D15" s="1">
        <f t="shared" si="0"/>
        <v>805</v>
      </c>
      <c r="E15">
        <v>372.5</v>
      </c>
      <c r="F15">
        <v>1</v>
      </c>
      <c r="G15" s="1">
        <f t="shared" si="1"/>
        <v>372.5</v>
      </c>
      <c r="H15">
        <v>3.18</v>
      </c>
      <c r="I15">
        <v>1</v>
      </c>
      <c r="J15" s="1">
        <f t="shared" si="2"/>
        <v>3.18</v>
      </c>
      <c r="K15">
        <v>2.97</v>
      </c>
      <c r="L15">
        <v>1</v>
      </c>
      <c r="M15" s="1">
        <f t="shared" si="3"/>
        <v>2.97</v>
      </c>
      <c r="N15">
        <v>0</v>
      </c>
      <c r="O15">
        <v>1</v>
      </c>
      <c r="P15" s="1">
        <f t="shared" si="4"/>
        <v>0</v>
      </c>
      <c r="Q15">
        <v>22</v>
      </c>
      <c r="R15">
        <v>1</v>
      </c>
      <c r="S15" s="1">
        <f t="shared" si="5"/>
        <v>22</v>
      </c>
      <c r="T15" s="2">
        <f t="shared" si="6"/>
        <v>20.808823529411764</v>
      </c>
      <c r="U15" s="1">
        <f t="shared" si="7"/>
        <v>432.5</v>
      </c>
      <c r="V15" s="1">
        <f t="shared" si="8"/>
        <v>3.0750000000000002</v>
      </c>
      <c r="W15" s="2">
        <f t="shared" si="9"/>
        <v>89.35565625000001</v>
      </c>
      <c r="X15" s="1">
        <v>285</v>
      </c>
      <c r="Y15" s="2">
        <f t="shared" si="10"/>
        <v>58.144343749999962</v>
      </c>
    </row>
  </sheetData>
  <mergeCells count="7">
    <mergeCell ref="Q1:S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2020-07-06T08:10:39Z</dcterms:modified>
</cp:coreProperties>
</file>