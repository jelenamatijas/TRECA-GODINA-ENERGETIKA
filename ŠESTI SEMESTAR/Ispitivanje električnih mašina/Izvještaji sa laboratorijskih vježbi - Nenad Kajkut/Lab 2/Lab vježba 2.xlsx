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Резултати мјерења" sheetId="1" r:id="rId1"/>
  </sheets>
  <calcPr calcId="144525"/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3" i="1"/>
  <c r="V4" i="1"/>
  <c r="V5" i="1"/>
  <c r="V6" i="1"/>
  <c r="V7" i="1"/>
  <c r="V8" i="1"/>
  <c r="V3" i="1"/>
  <c r="S4" i="1"/>
  <c r="S5" i="1"/>
  <c r="S6" i="1"/>
  <c r="S7" i="1"/>
  <c r="S8" i="1"/>
  <c r="S3" i="1"/>
  <c r="P4" i="1"/>
  <c r="P5" i="1"/>
  <c r="P6" i="1"/>
  <c r="P7" i="1"/>
  <c r="P8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<sst xmlns="http://schemas.openxmlformats.org/spreadsheetml/2006/main" count="25" uniqueCount="11">
  <si>
    <t>RBM</t>
  </si>
  <si>
    <t>α</t>
  </si>
  <si>
    <t>k</t>
  </si>
  <si>
    <r>
      <t>Ip0 [A]</t>
    </r>
    <r>
      <rPr>
        <b/>
        <sz val="12"/>
        <color theme="1"/>
        <rFont val="Calibri"/>
        <family val="2"/>
      </rPr>
      <t>↗</t>
    </r>
  </si>
  <si>
    <r>
      <t>E0 [V]</t>
    </r>
    <r>
      <rPr>
        <b/>
        <sz val="12"/>
        <color theme="1"/>
        <rFont val="Calibri"/>
        <family val="2"/>
      </rPr>
      <t>↗</t>
    </r>
  </si>
  <si>
    <r>
      <t>Ip0 [A]</t>
    </r>
    <r>
      <rPr>
        <b/>
        <sz val="12"/>
        <color theme="1"/>
        <rFont val="Calibri"/>
        <family val="2"/>
      </rPr>
      <t>↘</t>
    </r>
  </si>
  <si>
    <r>
      <t>E0 [V]</t>
    </r>
    <r>
      <rPr>
        <b/>
        <sz val="12"/>
        <color theme="1"/>
        <rFont val="Calibri"/>
        <family val="2"/>
      </rPr>
      <t>↘</t>
    </r>
  </si>
  <si>
    <t>Ipk [A]</t>
  </si>
  <si>
    <t>Iak [A]</t>
  </si>
  <si>
    <t>Ibk [A]</t>
  </si>
  <si>
    <t>Ick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</si>
</sst>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r-Cyrl-BA"/>
              <a:t>Карактеристика</a:t>
            </a:r>
            <a:r>
              <a:rPr lang="sr-Cyrl-BA" baseline="0"/>
              <a:t> ПХ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Узлазна карактеристика</c:v>
          </c:tx>
          <c:marker>
            <c:symbol val="none"/>
          </c:marker>
          <c:xVal>
            <c:numRef>
              <c:f>'Резултати мјерења'!$D$3:$D$15</c:f>
              <c:numCache>
                <c:formatCode>General</c:formatCode>
                <c:ptCount val="13"/>
                <c:pt idx="0">
                  <c:v>0.05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0.11</c:v>
                </c:pt>
                <c:pt idx="4">
                  <c:v>0.15</c:v>
                </c:pt>
                <c:pt idx="5">
                  <c:v>0.19500000000000001</c:v>
                </c:pt>
                <c:pt idx="6">
                  <c:v>0.26</c:v>
                </c:pt>
                <c:pt idx="7">
                  <c:v>0.28000000000000003</c:v>
                </c:pt>
                <c:pt idx="8">
                  <c:v>0.315</c:v>
                </c:pt>
                <c:pt idx="9">
                  <c:v>0.35</c:v>
                </c:pt>
                <c:pt idx="10">
                  <c:v>0.39500000000000002</c:v>
                </c:pt>
                <c:pt idx="11">
                  <c:v>0.47</c:v>
                </c:pt>
                <c:pt idx="12">
                  <c:v>0.56000000000000005</c:v>
                </c:pt>
              </c:numCache>
            </c:numRef>
          </c:xVal>
          <c:yVal>
            <c:numRef>
              <c:f>'Резултати мјерења'!$G$3:$G$15</c:f>
              <c:numCache>
                <c:formatCode>General</c:formatCode>
                <c:ptCount val="13"/>
                <c:pt idx="0">
                  <c:v>61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320</c:v>
                </c:pt>
                <c:pt idx="8">
                  <c:v>340</c:v>
                </c:pt>
                <c:pt idx="9">
                  <c:v>360</c:v>
                </c:pt>
                <c:pt idx="10">
                  <c:v>380</c:v>
                </c:pt>
                <c:pt idx="11">
                  <c:v>400</c:v>
                </c:pt>
                <c:pt idx="12">
                  <c:v>420</c:v>
                </c:pt>
              </c:numCache>
            </c:numRef>
          </c:yVal>
          <c:smooth val="1"/>
        </c:ser>
        <c:ser>
          <c:idx val="1"/>
          <c:order val="1"/>
          <c:tx>
            <c:v>Силазна карактеристика</c:v>
          </c:tx>
          <c:marker>
            <c:symbol val="none"/>
          </c:marker>
          <c:xVal>
            <c:numRef>
              <c:f>'Резултати мјерења'!$J$3:$J$15</c:f>
              <c:numCache>
                <c:formatCode>General</c:formatCode>
                <c:ptCount val="13"/>
                <c:pt idx="0">
                  <c:v>0.56000000000000005</c:v>
                </c:pt>
                <c:pt idx="1">
                  <c:v>0.45</c:v>
                </c:pt>
                <c:pt idx="2">
                  <c:v>0.375</c:v>
                </c:pt>
                <c:pt idx="3">
                  <c:v>0.33</c:v>
                </c:pt>
                <c:pt idx="4">
                  <c:v>0.29499999999999998</c:v>
                </c:pt>
                <c:pt idx="5">
                  <c:v>0.26500000000000001</c:v>
                </c:pt>
                <c:pt idx="6">
                  <c:v>0.24</c:v>
                </c:pt>
                <c:pt idx="7">
                  <c:v>0.185</c:v>
                </c:pt>
                <c:pt idx="8">
                  <c:v>0.14000000000000001</c:v>
                </c:pt>
                <c:pt idx="9">
                  <c:v>0.105</c:v>
                </c:pt>
                <c:pt idx="10">
                  <c:v>8.5000000000000006E-2</c:v>
                </c:pt>
                <c:pt idx="11">
                  <c:v>6.5000000000000002E-2</c:v>
                </c:pt>
                <c:pt idx="12">
                  <c:v>0.05</c:v>
                </c:pt>
              </c:numCache>
            </c:numRef>
          </c:xVal>
          <c:yVal>
            <c:numRef>
              <c:f>'Резултати мјерења'!$M$3:$M$15</c:f>
              <c:numCache>
                <c:formatCode>General</c:formatCode>
                <c:ptCount val="13"/>
                <c:pt idx="0">
                  <c:v>420</c:v>
                </c:pt>
                <c:pt idx="1">
                  <c:v>400</c:v>
                </c:pt>
                <c:pt idx="2">
                  <c:v>380</c:v>
                </c:pt>
                <c:pt idx="3">
                  <c:v>360</c:v>
                </c:pt>
                <c:pt idx="4">
                  <c:v>340</c:v>
                </c:pt>
                <c:pt idx="5">
                  <c:v>320</c:v>
                </c:pt>
                <c:pt idx="6">
                  <c:v>300</c:v>
                </c:pt>
                <c:pt idx="7">
                  <c:v>250</c:v>
                </c:pt>
                <c:pt idx="8">
                  <c:v>200</c:v>
                </c:pt>
                <c:pt idx="9">
                  <c:v>144</c:v>
                </c:pt>
                <c:pt idx="10">
                  <c:v>120</c:v>
                </c:pt>
                <c:pt idx="11">
                  <c:v>89</c:v>
                </c:pt>
                <c:pt idx="12">
                  <c:v>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95904"/>
        <c:axId val="139197824"/>
      </c:scatterChart>
      <c:valAx>
        <c:axId val="13919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Ip0</a:t>
                </a:r>
                <a:r>
                  <a:rPr lang="sr-Latn-BA" baseline="0"/>
                  <a:t> [A]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39197824"/>
        <c:crosses val="autoZero"/>
        <c:crossBetween val="midCat"/>
      </c:valAx>
      <c:valAx>
        <c:axId val="13919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r-Cyrl-BA"/>
                  <a:t>Е0</a:t>
                </a:r>
                <a:r>
                  <a:rPr lang="sr-Cyrl-BA" baseline="0"/>
                  <a:t> </a:t>
                </a:r>
                <a:r>
                  <a:rPr lang="sr-Latn-BA" baseline="0"/>
                  <a:t>[V]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39195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r-Cyrl-BA"/>
              <a:t>Карактеристика</a:t>
            </a:r>
            <a:r>
              <a:rPr lang="sr-Cyrl-BA" baseline="0"/>
              <a:t> КС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Струја фазе А у зависности од побудне струје</c:v>
          </c:tx>
          <c:marker>
            <c:symbol val="none"/>
          </c:marker>
          <c:xVal>
            <c:numRef>
              <c:f>'Резултати мјерења'!$P$3:$P$8</c:f>
              <c:numCache>
                <c:formatCode>General</c:formatCode>
                <c:ptCount val="6"/>
                <c:pt idx="0">
                  <c:v>0.68</c:v>
                </c:pt>
                <c:pt idx="1">
                  <c:v>0.88</c:v>
                </c:pt>
                <c:pt idx="2">
                  <c:v>1.1200000000000001</c:v>
                </c:pt>
                <c:pt idx="3">
                  <c:v>1.35</c:v>
                </c:pt>
                <c:pt idx="4">
                  <c:v>1.6</c:v>
                </c:pt>
                <c:pt idx="5">
                  <c:v>1.85</c:v>
                </c:pt>
              </c:numCache>
            </c:numRef>
          </c:xVal>
          <c:yVal>
            <c:numRef>
              <c:f>'Резултати мјерења'!$S$3:$S$8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41152"/>
        <c:axId val="196643072"/>
      </c:scatterChart>
      <c:valAx>
        <c:axId val="19664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Ipk</a:t>
                </a:r>
                <a:r>
                  <a:rPr lang="sr-Latn-BA" baseline="0"/>
                  <a:t> [A]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6643072"/>
        <c:crosses val="autoZero"/>
        <c:crossBetween val="midCat"/>
      </c:valAx>
      <c:valAx>
        <c:axId val="19664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Ifk</a:t>
                </a:r>
                <a:r>
                  <a:rPr lang="sr-Latn-BA" baseline="0"/>
                  <a:t> [A]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96641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19049</xdr:colOff>
      <xdr:row>1</xdr:row>
      <xdr:rowOff>19050</xdr:rowOff>
    </xdr:from>
    <xdr:to>
      <xdr:col>35</xdr:col>
      <xdr:colOff>590550</xdr:colOff>
      <xdr:row>20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28573</xdr:colOff>
      <xdr:row>21</xdr:row>
      <xdr:rowOff>123824</xdr:rowOff>
    </xdr:from>
    <xdr:to>
      <xdr:col>35</xdr:col>
      <xdr:colOff>600973</xdr:colOff>
      <xdr:row>41</xdr:row>
      <xdr:rowOff>65324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tabSelected="1" workbookViewId="0">
      <selection activeCell="N25" sqref="N25"/>
    </sheetView>
  </sheetViews>
  <sheetFormatPr defaultRowHeight="15.75" x14ac:dyDescent="0.25"/>
  <cols>
    <col min="1" max="1" width="6.5703125" style="1" bestFit="1" customWidth="1"/>
    <col min="2" max="2" width="6.7109375" style="1" bestFit="1" customWidth="1"/>
    <col min="3" max="3" width="2.28515625" style="1" bestFit="1" customWidth="1"/>
    <col min="4" max="4" width="6.7109375" style="1" bestFit="1" customWidth="1"/>
    <col min="5" max="5" width="4.42578125" style="1" bestFit="1" customWidth="1"/>
    <col min="6" max="6" width="2.28515625" style="1" bestFit="1" customWidth="1"/>
    <col min="7" max="7" width="4.42578125" style="1" bestFit="1" customWidth="1"/>
    <col min="8" max="8" width="6.7109375" style="1" bestFit="1" customWidth="1"/>
    <col min="9" max="9" width="2.28515625" style="1" bestFit="1" customWidth="1"/>
    <col min="10" max="10" width="6.7109375" style="1" bestFit="1" customWidth="1"/>
    <col min="11" max="11" width="4.42578125" style="1" bestFit="1" customWidth="1"/>
    <col min="12" max="12" width="2.28515625" style="1" bestFit="1" customWidth="1"/>
    <col min="13" max="13" width="4.42578125" style="1" bestFit="1" customWidth="1"/>
    <col min="14" max="14" width="5.5703125" style="1" bestFit="1" customWidth="1"/>
    <col min="15" max="15" width="2.28515625" style="1" bestFit="1" customWidth="1"/>
    <col min="16" max="16" width="5.5703125" style="1" bestFit="1" customWidth="1"/>
    <col min="17" max="17" width="3.28515625" style="1" bestFit="1" customWidth="1"/>
    <col min="18" max="18" width="2.28515625" style="1" bestFit="1" customWidth="1"/>
    <col min="19" max="19" width="3.28515625" style="1" bestFit="1" customWidth="1"/>
    <col min="20" max="20" width="5.5703125" style="1" bestFit="1" customWidth="1"/>
    <col min="21" max="21" width="2.28515625" style="1" bestFit="1" customWidth="1"/>
    <col min="22" max="22" width="5.5703125" style="1" bestFit="1" customWidth="1"/>
    <col min="23" max="23" width="6.7109375" style="1" bestFit="1" customWidth="1"/>
    <col min="24" max="24" width="2.28515625" style="1" bestFit="1" customWidth="1"/>
    <col min="25" max="25" width="6.7109375" style="1" bestFit="1" customWidth="1"/>
    <col min="26" max="16384" width="9.140625" style="1"/>
  </cols>
  <sheetData>
    <row r="1" spans="1:43" x14ac:dyDescent="0.25">
      <c r="A1" s="10" t="s">
        <v>0</v>
      </c>
      <c r="B1" s="10" t="s">
        <v>3</v>
      </c>
      <c r="C1" s="10"/>
      <c r="D1" s="10"/>
      <c r="E1" s="10" t="s">
        <v>4</v>
      </c>
      <c r="F1" s="10"/>
      <c r="G1" s="10"/>
      <c r="H1" s="10" t="s">
        <v>5</v>
      </c>
      <c r="I1" s="10"/>
      <c r="J1" s="10"/>
      <c r="K1" s="10" t="s">
        <v>6</v>
      </c>
      <c r="L1" s="10"/>
      <c r="M1" s="10"/>
      <c r="N1" s="10" t="s">
        <v>7</v>
      </c>
      <c r="O1" s="10"/>
      <c r="P1" s="10"/>
      <c r="Q1" s="10" t="s">
        <v>8</v>
      </c>
      <c r="R1" s="10"/>
      <c r="S1" s="10"/>
      <c r="T1" s="10" t="s">
        <v>9</v>
      </c>
      <c r="U1" s="10"/>
      <c r="V1" s="10"/>
      <c r="W1" s="10" t="s">
        <v>10</v>
      </c>
      <c r="X1" s="10"/>
      <c r="Y1" s="10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10"/>
      <c r="B2" s="3" t="s">
        <v>1</v>
      </c>
      <c r="C2" s="4" t="s">
        <v>2</v>
      </c>
      <c r="D2" s="4"/>
      <c r="E2" s="3" t="s">
        <v>1</v>
      </c>
      <c r="F2" s="4" t="s">
        <v>2</v>
      </c>
      <c r="G2" s="4"/>
      <c r="H2" s="3" t="s">
        <v>1</v>
      </c>
      <c r="I2" s="4" t="s">
        <v>2</v>
      </c>
      <c r="J2" s="4"/>
      <c r="K2" s="3" t="s">
        <v>1</v>
      </c>
      <c r="L2" s="4" t="s">
        <v>2</v>
      </c>
      <c r="M2" s="4"/>
      <c r="N2" s="3" t="s">
        <v>1</v>
      </c>
      <c r="O2" s="4" t="s">
        <v>2</v>
      </c>
      <c r="P2" s="4"/>
      <c r="Q2" s="3" t="s">
        <v>1</v>
      </c>
      <c r="R2" s="4" t="s">
        <v>2</v>
      </c>
      <c r="S2" s="4"/>
      <c r="T2" s="3" t="s">
        <v>1</v>
      </c>
      <c r="U2" s="4" t="s">
        <v>2</v>
      </c>
      <c r="V2" s="4"/>
      <c r="W2" s="3" t="s">
        <v>1</v>
      </c>
      <c r="X2" s="4" t="s">
        <v>2</v>
      </c>
      <c r="Y2" s="4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25">
      <c r="A3" s="4">
        <v>1</v>
      </c>
      <c r="B3" s="5">
        <v>0.05</v>
      </c>
      <c r="C3" s="5">
        <v>1</v>
      </c>
      <c r="D3" s="8">
        <f>B3*C3</f>
        <v>0.05</v>
      </c>
      <c r="E3" s="5">
        <v>61</v>
      </c>
      <c r="F3" s="5">
        <v>1</v>
      </c>
      <c r="G3" s="8">
        <f>E3*F3</f>
        <v>61</v>
      </c>
      <c r="H3" s="5">
        <v>0.56000000000000005</v>
      </c>
      <c r="I3" s="5">
        <v>1</v>
      </c>
      <c r="J3" s="8">
        <f>H3*I3</f>
        <v>0.56000000000000005</v>
      </c>
      <c r="K3" s="5">
        <v>420</v>
      </c>
      <c r="L3" s="5">
        <v>1</v>
      </c>
      <c r="M3" s="8">
        <f>K3*L3</f>
        <v>420</v>
      </c>
      <c r="N3" s="5">
        <v>0.68</v>
      </c>
      <c r="O3" s="5">
        <v>1</v>
      </c>
      <c r="P3" s="8">
        <f>N3*O3</f>
        <v>0.68</v>
      </c>
      <c r="Q3" s="5">
        <v>5</v>
      </c>
      <c r="R3" s="5">
        <v>1</v>
      </c>
      <c r="S3" s="8">
        <f>Q3*R3</f>
        <v>5</v>
      </c>
      <c r="T3" s="5">
        <v>5.5</v>
      </c>
      <c r="U3" s="5">
        <v>1</v>
      </c>
      <c r="V3" s="8">
        <f>T3*U3</f>
        <v>5.5</v>
      </c>
      <c r="W3" s="5">
        <v>5.5</v>
      </c>
      <c r="X3" s="5">
        <v>1</v>
      </c>
      <c r="Y3" s="8">
        <f>W3*X3</f>
        <v>5.5</v>
      </c>
    </row>
    <row r="4" spans="1:43" x14ac:dyDescent="0.25">
      <c r="A4" s="4">
        <v>2</v>
      </c>
      <c r="B4" s="5">
        <v>7.0000000000000007E-2</v>
      </c>
      <c r="C4" s="5">
        <v>1</v>
      </c>
      <c r="D4" s="8">
        <f t="shared" ref="D4:D15" si="0">B4*C4</f>
        <v>7.0000000000000007E-2</v>
      </c>
      <c r="E4" s="5">
        <v>90</v>
      </c>
      <c r="F4" s="5">
        <v>1</v>
      </c>
      <c r="G4" s="8">
        <f t="shared" ref="G4:G15" si="1">E4*F4</f>
        <v>90</v>
      </c>
      <c r="H4" s="5">
        <v>0.45</v>
      </c>
      <c r="I4" s="5">
        <v>1</v>
      </c>
      <c r="J4" s="8">
        <f t="shared" ref="J4:J15" si="2">H4*I4</f>
        <v>0.45</v>
      </c>
      <c r="K4" s="5">
        <v>400</v>
      </c>
      <c r="L4" s="5">
        <v>1</v>
      </c>
      <c r="M4" s="8">
        <f t="shared" ref="M4:M15" si="3">K4*L4</f>
        <v>400</v>
      </c>
      <c r="N4" s="5">
        <v>0.88</v>
      </c>
      <c r="O4" s="5">
        <v>1</v>
      </c>
      <c r="P4" s="8">
        <f t="shared" ref="P4:P8" si="4">N4*O4</f>
        <v>0.88</v>
      </c>
      <c r="Q4" s="5">
        <v>7</v>
      </c>
      <c r="R4" s="5">
        <v>1</v>
      </c>
      <c r="S4" s="8">
        <f t="shared" ref="S4:S8" si="5">Q4*R4</f>
        <v>7</v>
      </c>
      <c r="T4" s="5">
        <v>7</v>
      </c>
      <c r="U4" s="5">
        <v>1</v>
      </c>
      <c r="V4" s="8">
        <f t="shared" ref="V4:V8" si="6">T4*U4</f>
        <v>7</v>
      </c>
      <c r="W4" s="5">
        <v>7</v>
      </c>
      <c r="X4" s="5">
        <v>1</v>
      </c>
      <c r="Y4" s="8">
        <f t="shared" ref="Y4:Y8" si="7">W4*X4</f>
        <v>7</v>
      </c>
    </row>
    <row r="5" spans="1:43" x14ac:dyDescent="0.25">
      <c r="A5" s="4">
        <v>3</v>
      </c>
      <c r="B5" s="5">
        <v>0.09</v>
      </c>
      <c r="C5" s="5">
        <v>1</v>
      </c>
      <c r="D5" s="8">
        <f t="shared" si="0"/>
        <v>0.09</v>
      </c>
      <c r="E5" s="5">
        <v>120</v>
      </c>
      <c r="F5" s="5">
        <v>1</v>
      </c>
      <c r="G5" s="8">
        <f t="shared" si="1"/>
        <v>120</v>
      </c>
      <c r="H5" s="5">
        <v>0.375</v>
      </c>
      <c r="I5" s="5">
        <v>1</v>
      </c>
      <c r="J5" s="8">
        <f t="shared" si="2"/>
        <v>0.375</v>
      </c>
      <c r="K5" s="5">
        <v>380</v>
      </c>
      <c r="L5" s="5">
        <v>1</v>
      </c>
      <c r="M5" s="8">
        <f t="shared" si="3"/>
        <v>380</v>
      </c>
      <c r="N5" s="5">
        <v>1.1200000000000001</v>
      </c>
      <c r="O5" s="5">
        <v>1</v>
      </c>
      <c r="P5" s="8">
        <f t="shared" si="4"/>
        <v>1.1200000000000001</v>
      </c>
      <c r="Q5" s="5">
        <v>9</v>
      </c>
      <c r="R5" s="5">
        <v>1</v>
      </c>
      <c r="S5" s="8">
        <f t="shared" si="5"/>
        <v>9</v>
      </c>
      <c r="T5" s="5">
        <v>9.25</v>
      </c>
      <c r="U5" s="5">
        <v>1</v>
      </c>
      <c r="V5" s="8">
        <f t="shared" si="6"/>
        <v>9.25</v>
      </c>
      <c r="W5" s="5">
        <v>9.25</v>
      </c>
      <c r="X5" s="5">
        <v>1</v>
      </c>
      <c r="Y5" s="8">
        <f t="shared" si="7"/>
        <v>9.25</v>
      </c>
    </row>
    <row r="6" spans="1:43" x14ac:dyDescent="0.25">
      <c r="A6" s="4">
        <v>4</v>
      </c>
      <c r="B6" s="5">
        <v>0.11</v>
      </c>
      <c r="C6" s="5">
        <v>1</v>
      </c>
      <c r="D6" s="8">
        <f t="shared" si="0"/>
        <v>0.11</v>
      </c>
      <c r="E6" s="5">
        <v>150</v>
      </c>
      <c r="F6" s="5">
        <v>1</v>
      </c>
      <c r="G6" s="8">
        <f t="shared" si="1"/>
        <v>150</v>
      </c>
      <c r="H6" s="5">
        <v>0.33</v>
      </c>
      <c r="I6" s="5">
        <v>1</v>
      </c>
      <c r="J6" s="8">
        <f t="shared" si="2"/>
        <v>0.33</v>
      </c>
      <c r="K6" s="5">
        <v>360</v>
      </c>
      <c r="L6" s="5">
        <v>1</v>
      </c>
      <c r="M6" s="8">
        <f t="shared" si="3"/>
        <v>360</v>
      </c>
      <c r="N6" s="5">
        <v>1.35</v>
      </c>
      <c r="O6" s="5">
        <v>1</v>
      </c>
      <c r="P6" s="8">
        <f t="shared" si="4"/>
        <v>1.35</v>
      </c>
      <c r="Q6" s="5">
        <v>11</v>
      </c>
      <c r="R6" s="5">
        <v>1</v>
      </c>
      <c r="S6" s="8">
        <f t="shared" si="5"/>
        <v>11</v>
      </c>
      <c r="T6" s="5">
        <v>11</v>
      </c>
      <c r="U6" s="5">
        <v>1</v>
      </c>
      <c r="V6" s="8">
        <f t="shared" si="6"/>
        <v>11</v>
      </c>
      <c r="W6" s="5">
        <v>11.25</v>
      </c>
      <c r="X6" s="5">
        <v>1</v>
      </c>
      <c r="Y6" s="8">
        <f t="shared" si="7"/>
        <v>11.25</v>
      </c>
    </row>
    <row r="7" spans="1:43" x14ac:dyDescent="0.25">
      <c r="A7" s="4">
        <v>5</v>
      </c>
      <c r="B7" s="5">
        <v>0.15</v>
      </c>
      <c r="C7" s="5">
        <v>1</v>
      </c>
      <c r="D7" s="8">
        <f t="shared" si="0"/>
        <v>0.15</v>
      </c>
      <c r="E7" s="5">
        <v>200</v>
      </c>
      <c r="F7" s="5">
        <v>1</v>
      </c>
      <c r="G7" s="8">
        <f t="shared" si="1"/>
        <v>200</v>
      </c>
      <c r="H7" s="5">
        <v>0.29499999999999998</v>
      </c>
      <c r="I7" s="5">
        <v>1</v>
      </c>
      <c r="J7" s="8">
        <f t="shared" si="2"/>
        <v>0.29499999999999998</v>
      </c>
      <c r="K7" s="5">
        <v>340</v>
      </c>
      <c r="L7" s="5">
        <v>1</v>
      </c>
      <c r="M7" s="8">
        <f t="shared" si="3"/>
        <v>340</v>
      </c>
      <c r="N7" s="5">
        <v>1.6</v>
      </c>
      <c r="O7" s="5">
        <v>1</v>
      </c>
      <c r="P7" s="8">
        <f t="shared" si="4"/>
        <v>1.6</v>
      </c>
      <c r="Q7" s="5">
        <v>13</v>
      </c>
      <c r="R7" s="5">
        <v>1</v>
      </c>
      <c r="S7" s="8">
        <f t="shared" si="5"/>
        <v>13</v>
      </c>
      <c r="T7" s="5">
        <v>13</v>
      </c>
      <c r="U7" s="5">
        <v>1</v>
      </c>
      <c r="V7" s="8">
        <f t="shared" si="6"/>
        <v>13</v>
      </c>
      <c r="W7" s="5">
        <v>13.25</v>
      </c>
      <c r="X7" s="5">
        <v>1</v>
      </c>
      <c r="Y7" s="8">
        <f t="shared" si="7"/>
        <v>13.25</v>
      </c>
    </row>
    <row r="8" spans="1:43" x14ac:dyDescent="0.25">
      <c r="A8" s="4">
        <v>6</v>
      </c>
      <c r="B8" s="5">
        <v>0.19500000000000001</v>
      </c>
      <c r="C8" s="5">
        <v>1</v>
      </c>
      <c r="D8" s="8">
        <f t="shared" si="0"/>
        <v>0.19500000000000001</v>
      </c>
      <c r="E8" s="5">
        <v>250</v>
      </c>
      <c r="F8" s="5">
        <v>1</v>
      </c>
      <c r="G8" s="8">
        <f t="shared" si="1"/>
        <v>250</v>
      </c>
      <c r="H8" s="5">
        <v>0.26500000000000001</v>
      </c>
      <c r="I8" s="5">
        <v>1</v>
      </c>
      <c r="J8" s="8">
        <f t="shared" si="2"/>
        <v>0.26500000000000001</v>
      </c>
      <c r="K8" s="5">
        <v>320</v>
      </c>
      <c r="L8" s="5">
        <v>1</v>
      </c>
      <c r="M8" s="8">
        <f t="shared" si="3"/>
        <v>320</v>
      </c>
      <c r="N8" s="9">
        <v>1.85</v>
      </c>
      <c r="O8" s="5">
        <v>1</v>
      </c>
      <c r="P8" s="8">
        <f t="shared" si="4"/>
        <v>1.85</v>
      </c>
      <c r="Q8" s="5">
        <v>15</v>
      </c>
      <c r="R8" s="5">
        <v>1</v>
      </c>
      <c r="S8" s="8">
        <f t="shared" si="5"/>
        <v>15</v>
      </c>
      <c r="T8" s="5">
        <v>14</v>
      </c>
      <c r="U8" s="5">
        <v>1</v>
      </c>
      <c r="V8" s="8">
        <f t="shared" si="6"/>
        <v>14</v>
      </c>
      <c r="W8" s="5">
        <v>15</v>
      </c>
      <c r="X8" s="5">
        <v>1</v>
      </c>
      <c r="Y8" s="8">
        <f t="shared" si="7"/>
        <v>15</v>
      </c>
    </row>
    <row r="9" spans="1:43" x14ac:dyDescent="0.25">
      <c r="A9" s="4">
        <v>7</v>
      </c>
      <c r="B9" s="5">
        <v>0.26</v>
      </c>
      <c r="C9" s="5">
        <v>1</v>
      </c>
      <c r="D9" s="8">
        <f t="shared" si="0"/>
        <v>0.26</v>
      </c>
      <c r="E9" s="5">
        <v>300</v>
      </c>
      <c r="F9" s="5">
        <v>1</v>
      </c>
      <c r="G9" s="8">
        <f t="shared" si="1"/>
        <v>300</v>
      </c>
      <c r="H9" s="5">
        <v>0.24</v>
      </c>
      <c r="I9" s="5">
        <v>1</v>
      </c>
      <c r="J9" s="8">
        <f t="shared" si="2"/>
        <v>0.24</v>
      </c>
      <c r="K9" s="5">
        <v>300</v>
      </c>
      <c r="L9" s="5">
        <v>1</v>
      </c>
      <c r="M9" s="8">
        <f t="shared" si="3"/>
        <v>300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43" x14ac:dyDescent="0.25">
      <c r="A10" s="4">
        <v>8</v>
      </c>
      <c r="B10" s="5">
        <v>0.28000000000000003</v>
      </c>
      <c r="C10" s="5">
        <v>1</v>
      </c>
      <c r="D10" s="8">
        <f t="shared" si="0"/>
        <v>0.28000000000000003</v>
      </c>
      <c r="E10" s="5">
        <v>320</v>
      </c>
      <c r="F10" s="5">
        <v>1</v>
      </c>
      <c r="G10" s="8">
        <f t="shared" si="1"/>
        <v>320</v>
      </c>
      <c r="H10" s="5">
        <v>0.185</v>
      </c>
      <c r="I10" s="5">
        <v>1</v>
      </c>
      <c r="J10" s="8">
        <f t="shared" si="2"/>
        <v>0.185</v>
      </c>
      <c r="K10" s="5">
        <v>250</v>
      </c>
      <c r="L10" s="5">
        <v>1</v>
      </c>
      <c r="M10" s="8">
        <f t="shared" si="3"/>
        <v>250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43" x14ac:dyDescent="0.25">
      <c r="A11" s="4">
        <v>9</v>
      </c>
      <c r="B11" s="5">
        <v>0.315</v>
      </c>
      <c r="C11" s="5">
        <v>1</v>
      </c>
      <c r="D11" s="8">
        <f t="shared" si="0"/>
        <v>0.315</v>
      </c>
      <c r="E11" s="5">
        <v>340</v>
      </c>
      <c r="F11" s="5">
        <v>1</v>
      </c>
      <c r="G11" s="8">
        <f t="shared" si="1"/>
        <v>340</v>
      </c>
      <c r="H11" s="5">
        <v>0.14000000000000001</v>
      </c>
      <c r="I11" s="5">
        <v>1</v>
      </c>
      <c r="J11" s="8">
        <f t="shared" si="2"/>
        <v>0.14000000000000001</v>
      </c>
      <c r="K11" s="5">
        <v>200</v>
      </c>
      <c r="L11" s="5">
        <v>1</v>
      </c>
      <c r="M11" s="8">
        <f t="shared" si="3"/>
        <v>200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43" x14ac:dyDescent="0.25">
      <c r="A12" s="4">
        <v>10</v>
      </c>
      <c r="B12" s="5">
        <v>0.35</v>
      </c>
      <c r="C12" s="5">
        <v>1</v>
      </c>
      <c r="D12" s="8">
        <f t="shared" si="0"/>
        <v>0.35</v>
      </c>
      <c r="E12" s="5">
        <v>360</v>
      </c>
      <c r="F12" s="5">
        <v>1</v>
      </c>
      <c r="G12" s="8">
        <f t="shared" si="1"/>
        <v>360</v>
      </c>
      <c r="H12" s="5">
        <v>0.105</v>
      </c>
      <c r="I12" s="5">
        <v>1</v>
      </c>
      <c r="J12" s="8">
        <f t="shared" si="2"/>
        <v>0.105</v>
      </c>
      <c r="K12" s="5">
        <v>144</v>
      </c>
      <c r="L12" s="5">
        <v>1</v>
      </c>
      <c r="M12" s="8">
        <f t="shared" si="3"/>
        <v>144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43" x14ac:dyDescent="0.25">
      <c r="A13" s="4">
        <v>11</v>
      </c>
      <c r="B13" s="5">
        <v>0.39500000000000002</v>
      </c>
      <c r="C13" s="5">
        <v>1</v>
      </c>
      <c r="D13" s="8">
        <f t="shared" si="0"/>
        <v>0.39500000000000002</v>
      </c>
      <c r="E13" s="5">
        <v>380</v>
      </c>
      <c r="F13" s="5">
        <v>1</v>
      </c>
      <c r="G13" s="8">
        <f t="shared" si="1"/>
        <v>380</v>
      </c>
      <c r="H13" s="5">
        <v>8.5000000000000006E-2</v>
      </c>
      <c r="I13" s="5">
        <v>1</v>
      </c>
      <c r="J13" s="8">
        <f t="shared" si="2"/>
        <v>8.5000000000000006E-2</v>
      </c>
      <c r="K13" s="5">
        <v>120</v>
      </c>
      <c r="L13" s="5">
        <v>1</v>
      </c>
      <c r="M13" s="8">
        <f t="shared" si="3"/>
        <v>120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43" x14ac:dyDescent="0.25">
      <c r="A14" s="4">
        <v>12</v>
      </c>
      <c r="B14" s="5">
        <v>0.47</v>
      </c>
      <c r="C14" s="5">
        <v>1</v>
      </c>
      <c r="D14" s="8">
        <f t="shared" si="0"/>
        <v>0.47</v>
      </c>
      <c r="E14" s="5">
        <v>400</v>
      </c>
      <c r="F14" s="5">
        <v>1</v>
      </c>
      <c r="G14" s="8">
        <f t="shared" si="1"/>
        <v>400</v>
      </c>
      <c r="H14" s="5">
        <v>6.5000000000000002E-2</v>
      </c>
      <c r="I14" s="5">
        <v>1</v>
      </c>
      <c r="J14" s="8">
        <f t="shared" si="2"/>
        <v>6.5000000000000002E-2</v>
      </c>
      <c r="K14" s="5">
        <v>89</v>
      </c>
      <c r="L14" s="5">
        <v>1</v>
      </c>
      <c r="M14" s="8">
        <f t="shared" si="3"/>
        <v>89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43" x14ac:dyDescent="0.25">
      <c r="A15" s="4">
        <v>13</v>
      </c>
      <c r="B15" s="5">
        <v>0.56000000000000005</v>
      </c>
      <c r="C15" s="5">
        <v>1</v>
      </c>
      <c r="D15" s="8">
        <f t="shared" si="0"/>
        <v>0.56000000000000005</v>
      </c>
      <c r="E15" s="5">
        <v>420</v>
      </c>
      <c r="F15" s="5">
        <v>1</v>
      </c>
      <c r="G15" s="8">
        <f t="shared" si="1"/>
        <v>420</v>
      </c>
      <c r="H15" s="5">
        <v>0.05</v>
      </c>
      <c r="I15" s="5">
        <v>1</v>
      </c>
      <c r="J15" s="8">
        <f t="shared" si="2"/>
        <v>0.05</v>
      </c>
      <c r="K15" s="5">
        <v>64</v>
      </c>
      <c r="L15" s="5">
        <v>1</v>
      </c>
      <c r="M15" s="8">
        <f t="shared" si="3"/>
        <v>64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43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</sheetData>
  <mergeCells count="9">
    <mergeCell ref="Q1:S1"/>
    <mergeCell ref="T1:V1"/>
    <mergeCell ref="W1:Y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Резултати мјерења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2021-05-08T10:40:27Z</dcterms:created>
  <dcterms:modified xsi:type="dcterms:W3CDTF">2021-05-09T11:25:18Z</dcterms:modified>
</cp:coreProperties>
</file>