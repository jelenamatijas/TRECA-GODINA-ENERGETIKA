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22995" windowHeight="10050"/>
  </bookViews>
  <sheets>
    <sheet name="Резултати мјерења" sheetId="2" r:id="rId1"/>
  </sheets>
  <calcPr calcId="144525"/>
</workbook>
</file>

<file path=xl/calcChain.xml><?xml version="1.0" encoding="utf-8"?>
<calcChain xmlns="http://schemas.openxmlformats.org/spreadsheetml/2006/main">
  <c r="X4" i="2" l="1"/>
  <c r="Z4" i="2" s="1"/>
  <c r="X5" i="2"/>
  <c r="X6" i="2"/>
  <c r="Z6" i="2" s="1"/>
  <c r="X7" i="2"/>
  <c r="X8" i="2"/>
  <c r="Z8" i="2" s="1"/>
  <c r="X9" i="2"/>
  <c r="X10" i="2"/>
  <c r="Z10" i="2" s="1"/>
  <c r="X11" i="2"/>
  <c r="X12" i="2"/>
  <c r="Z12" i="2" s="1"/>
  <c r="X13" i="2"/>
  <c r="X14" i="2"/>
  <c r="Z14" i="2" s="1"/>
  <c r="X15" i="2"/>
  <c r="X3" i="2"/>
  <c r="Z5" i="2"/>
  <c r="Z7" i="2"/>
  <c r="Z9" i="2"/>
  <c r="Z11" i="2"/>
  <c r="Z13" i="2"/>
  <c r="Z15" i="2"/>
  <c r="Z3" i="2"/>
  <c r="U4" i="2"/>
  <c r="U5" i="2"/>
  <c r="U6" i="2"/>
  <c r="U7" i="2"/>
  <c r="U8" i="2"/>
  <c r="U9" i="2"/>
  <c r="U10" i="2"/>
  <c r="U11" i="2"/>
  <c r="U12" i="2"/>
  <c r="U13" i="2"/>
  <c r="U14" i="2"/>
  <c r="U15" i="2"/>
  <c r="U3" i="2"/>
  <c r="W4" i="2"/>
  <c r="W5" i="2"/>
  <c r="W6" i="2"/>
  <c r="W7" i="2"/>
  <c r="W8" i="2"/>
  <c r="W9" i="2"/>
  <c r="W10" i="2"/>
  <c r="W11" i="2"/>
  <c r="W12" i="2"/>
  <c r="W13" i="2"/>
  <c r="W14" i="2"/>
  <c r="W15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3" i="2"/>
  <c r="S4" i="2"/>
  <c r="S5" i="2"/>
  <c r="S6" i="2"/>
  <c r="S7" i="2"/>
  <c r="S8" i="2"/>
  <c r="S9" i="2"/>
  <c r="S10" i="2"/>
  <c r="S11" i="2"/>
  <c r="S12" i="2"/>
  <c r="S13" i="2"/>
  <c r="S14" i="2"/>
  <c r="S15" i="2"/>
  <c r="S3" i="2"/>
  <c r="P4" i="2"/>
  <c r="P5" i="2"/>
  <c r="P6" i="2"/>
  <c r="P7" i="2"/>
  <c r="P8" i="2"/>
  <c r="P9" i="2"/>
  <c r="P10" i="2"/>
  <c r="P11" i="2"/>
  <c r="P12" i="2"/>
  <c r="P13" i="2"/>
  <c r="P14" i="2"/>
  <c r="P15" i="2"/>
  <c r="P3" i="2"/>
  <c r="M4" i="2"/>
  <c r="M5" i="2"/>
  <c r="M6" i="2"/>
  <c r="M7" i="2"/>
  <c r="M8" i="2"/>
  <c r="M9" i="2"/>
  <c r="M10" i="2"/>
  <c r="M11" i="2"/>
  <c r="M12" i="2"/>
  <c r="M13" i="2"/>
  <c r="M14" i="2"/>
  <c r="M15" i="2"/>
  <c r="M3" i="2"/>
  <c r="J4" i="2"/>
  <c r="J5" i="2"/>
  <c r="J6" i="2"/>
  <c r="J7" i="2"/>
  <c r="J8" i="2"/>
  <c r="J9" i="2"/>
  <c r="J10" i="2"/>
  <c r="J11" i="2"/>
  <c r="J12" i="2"/>
  <c r="J13" i="2"/>
  <c r="J14" i="2"/>
  <c r="J15" i="2"/>
  <c r="J3" i="2"/>
  <c r="G4" i="2"/>
  <c r="G5" i="2"/>
  <c r="G6" i="2"/>
  <c r="G7" i="2"/>
  <c r="G8" i="2"/>
  <c r="G9" i="2"/>
  <c r="G10" i="2"/>
  <c r="G11" i="2"/>
  <c r="G12" i="2"/>
  <c r="G13" i="2"/>
  <c r="G14" i="2"/>
  <c r="G15" i="2"/>
  <c r="G3" i="2"/>
  <c r="D4" i="2"/>
  <c r="D5" i="2"/>
  <c r="D6" i="2"/>
  <c r="D7" i="2"/>
  <c r="D8" i="2"/>
  <c r="D9" i="2"/>
  <c r="D10" i="2"/>
  <c r="D11" i="2"/>
  <c r="D12" i="2"/>
  <c r="D13" i="2"/>
  <c r="D14" i="2"/>
  <c r="D15" i="2"/>
  <c r="D3" i="2"/>
</calcChain>
</file>

<file path=xl/sharedStrings.xml><?xml version="1.0" encoding="utf-8"?>
<sst xmlns="http://schemas.openxmlformats.org/spreadsheetml/2006/main" count="35" uniqueCount="22">
  <si>
    <t>RBM</t>
  </si>
  <si>
    <t>α</t>
  </si>
  <si>
    <t>k</t>
  </si>
  <si>
    <t>P10 [W]</t>
  </si>
  <si>
    <t>P20 [W]</t>
  </si>
  <si>
    <t>Ia0 [A]</t>
  </si>
  <si>
    <t>Ip0 [A]</t>
  </si>
  <si>
    <t>E0 [V]</t>
  </si>
  <si>
    <t>E0sv [V]</t>
  </si>
  <si>
    <t>P0 [W]</t>
  </si>
  <si>
    <t>I0 [A]</t>
  </si>
  <si>
    <t>Ic0 [A]</t>
  </si>
  <si>
    <r>
      <t>n</t>
    </r>
    <r>
      <rPr>
        <sz val="8"/>
        <color theme="1"/>
        <rFont val="Times New Roman"/>
        <family val="1"/>
      </rPr>
      <t>n</t>
    </r>
  </si>
  <si>
    <t>n</t>
  </si>
  <si>
    <r>
      <t>R</t>
    </r>
    <r>
      <rPr>
        <sz val="8"/>
        <color theme="1"/>
        <rFont val="Times New Roman"/>
        <family val="1"/>
      </rPr>
      <t>AB</t>
    </r>
  </si>
  <si>
    <r>
      <t>R</t>
    </r>
    <r>
      <rPr>
        <sz val="8"/>
        <color theme="1"/>
        <rFont val="Times New Roman"/>
        <family val="1"/>
      </rPr>
      <t>BC</t>
    </r>
  </si>
  <si>
    <r>
      <t>R</t>
    </r>
    <r>
      <rPr>
        <sz val="8"/>
        <color theme="1"/>
        <rFont val="Times New Roman"/>
        <family val="1"/>
      </rPr>
      <t>CA</t>
    </r>
  </si>
  <si>
    <t>Ω</t>
  </si>
  <si>
    <t>o/min</t>
  </si>
  <si>
    <t>Pcus0 [W]</t>
  </si>
  <si>
    <t>Pfv+PFen (AM) [W]</t>
  </si>
  <si>
    <t>Pfv+PFe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</si>
</sst>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3" borderId="0" xfId="0" applyFill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workbookViewId="0">
      <selection activeCell="X22" sqref="X22"/>
    </sheetView>
  </sheetViews>
  <sheetFormatPr defaultRowHeight="15" x14ac:dyDescent="0.25"/>
  <cols>
    <col min="1" max="1" width="6.28515625" bestFit="1" customWidth="1"/>
    <col min="2" max="2" width="6" bestFit="1" customWidth="1"/>
    <col min="3" max="3" width="5.5703125" bestFit="1" customWidth="1"/>
    <col min="4" max="5" width="6" bestFit="1" customWidth="1"/>
    <col min="6" max="6" width="2.28515625" bestFit="1" customWidth="1"/>
    <col min="7" max="7" width="6" bestFit="1" customWidth="1"/>
    <col min="8" max="8" width="5" bestFit="1" customWidth="1"/>
    <col min="9" max="9" width="2.28515625" bestFit="1" customWidth="1"/>
    <col min="10" max="11" width="5" bestFit="1" customWidth="1"/>
    <col min="12" max="12" width="2.28515625" bestFit="1" customWidth="1"/>
    <col min="13" max="13" width="5" bestFit="1" customWidth="1"/>
    <col min="14" max="14" width="6" bestFit="1" customWidth="1"/>
    <col min="15" max="15" width="2.28515625" bestFit="1" customWidth="1"/>
    <col min="16" max="16" width="6" bestFit="1" customWidth="1"/>
    <col min="17" max="17" width="4" bestFit="1" customWidth="1"/>
    <col min="18" max="18" width="2.28515625" bestFit="1" customWidth="1"/>
    <col min="19" max="19" width="4" bestFit="1" customWidth="1"/>
    <col min="20" max="20" width="1.140625" customWidth="1"/>
    <col min="21" max="21" width="9.140625" bestFit="1" customWidth="1"/>
    <col min="22" max="22" width="7.42578125" bestFit="1" customWidth="1"/>
    <col min="23" max="23" width="6.5703125" bestFit="1" customWidth="1"/>
    <col min="24" max="24" width="10.5703125" bestFit="1" customWidth="1"/>
    <col min="25" max="25" width="20.140625" bestFit="1" customWidth="1"/>
    <col min="26" max="26" width="13.140625" bestFit="1" customWidth="1"/>
  </cols>
  <sheetData>
    <row r="1" spans="1:26" x14ac:dyDescent="0.25">
      <c r="A1" s="1" t="s">
        <v>0</v>
      </c>
      <c r="B1" s="1" t="s">
        <v>3</v>
      </c>
      <c r="C1" s="1"/>
      <c r="D1" s="1"/>
      <c r="E1" s="1" t="s">
        <v>4</v>
      </c>
      <c r="F1" s="1"/>
      <c r="G1" s="1"/>
      <c r="H1" s="1" t="s">
        <v>5</v>
      </c>
      <c r="I1" s="1"/>
      <c r="J1" s="1"/>
      <c r="K1" s="1" t="s">
        <v>11</v>
      </c>
      <c r="L1" s="1"/>
      <c r="M1" s="1"/>
      <c r="N1" s="1" t="s">
        <v>6</v>
      </c>
      <c r="O1" s="1"/>
      <c r="P1" s="1"/>
      <c r="Q1" s="1" t="s">
        <v>7</v>
      </c>
      <c r="R1" s="1"/>
      <c r="S1" s="1"/>
      <c r="T1" s="5"/>
      <c r="U1" s="7" t="s">
        <v>8</v>
      </c>
      <c r="V1" s="7" t="s">
        <v>9</v>
      </c>
      <c r="W1" s="7" t="s">
        <v>10</v>
      </c>
      <c r="X1" s="19" t="s">
        <v>19</v>
      </c>
      <c r="Y1" s="19" t="s">
        <v>20</v>
      </c>
      <c r="Z1" s="19" t="s">
        <v>21</v>
      </c>
    </row>
    <row r="2" spans="1:26" x14ac:dyDescent="0.25">
      <c r="A2" s="1"/>
      <c r="B2" s="2" t="s">
        <v>1</v>
      </c>
      <c r="C2" s="2" t="s">
        <v>2</v>
      </c>
      <c r="D2" s="2"/>
      <c r="E2" s="2" t="s">
        <v>1</v>
      </c>
      <c r="F2" s="2" t="s">
        <v>2</v>
      </c>
      <c r="G2" s="2"/>
      <c r="H2" s="2" t="s">
        <v>1</v>
      </c>
      <c r="I2" s="2" t="s">
        <v>2</v>
      </c>
      <c r="J2" s="2"/>
      <c r="K2" s="2" t="s">
        <v>1</v>
      </c>
      <c r="L2" s="2" t="s">
        <v>2</v>
      </c>
      <c r="M2" s="2"/>
      <c r="N2" s="2" t="s">
        <v>1</v>
      </c>
      <c r="O2" s="2" t="s">
        <v>2</v>
      </c>
      <c r="P2" s="2"/>
      <c r="Q2" s="2" t="s">
        <v>1</v>
      </c>
      <c r="R2" s="2" t="s">
        <v>2</v>
      </c>
      <c r="S2" s="2"/>
      <c r="T2" s="5"/>
      <c r="U2" s="6"/>
      <c r="V2" s="6"/>
      <c r="W2" s="6"/>
      <c r="X2" s="20"/>
      <c r="Y2" s="20"/>
      <c r="Z2" s="20"/>
    </row>
    <row r="3" spans="1:26" x14ac:dyDescent="0.25">
      <c r="A3" s="2">
        <v>1</v>
      </c>
      <c r="B3" s="3">
        <v>797.5</v>
      </c>
      <c r="C3" s="3">
        <v>1</v>
      </c>
      <c r="D3" s="4">
        <f>B3*C3</f>
        <v>797.5</v>
      </c>
      <c r="E3" s="3">
        <v>359</v>
      </c>
      <c r="F3" s="3">
        <v>1</v>
      </c>
      <c r="G3" s="4">
        <f>E3*F3</f>
        <v>359</v>
      </c>
      <c r="H3" s="3">
        <v>3.16</v>
      </c>
      <c r="I3" s="3">
        <v>1</v>
      </c>
      <c r="J3" s="4">
        <f>H3*I3</f>
        <v>3.16</v>
      </c>
      <c r="K3" s="3">
        <v>2.98</v>
      </c>
      <c r="L3" s="3">
        <v>1</v>
      </c>
      <c r="M3" s="4">
        <f>K3*L3</f>
        <v>2.98</v>
      </c>
      <c r="N3" s="3">
        <v>0</v>
      </c>
      <c r="O3" s="3">
        <v>1</v>
      </c>
      <c r="P3" s="4">
        <f>N3*O3</f>
        <v>0</v>
      </c>
      <c r="Q3" s="3">
        <v>5</v>
      </c>
      <c r="R3" s="3">
        <v>1</v>
      </c>
      <c r="S3" s="4">
        <f>Q3*R3</f>
        <v>5</v>
      </c>
      <c r="T3" s="5"/>
      <c r="U3" s="23">
        <f>S3*($B$19/$B$20)</f>
        <v>4.7292780748663095</v>
      </c>
      <c r="V3" s="18">
        <f>D3-G3</f>
        <v>438.5</v>
      </c>
      <c r="W3" s="24">
        <f>(J3+M3)/2</f>
        <v>3.0700000000000003</v>
      </c>
      <c r="X3" s="21">
        <f>3*($B$21/2)*W3^2</f>
        <v>89.065305000000009</v>
      </c>
      <c r="Y3" s="22">
        <v>285</v>
      </c>
      <c r="Z3" s="21">
        <f>V3-X3-Y3</f>
        <v>64.434694999999977</v>
      </c>
    </row>
    <row r="4" spans="1:26" x14ac:dyDescent="0.25">
      <c r="A4" s="2">
        <v>2</v>
      </c>
      <c r="B4" s="3">
        <v>800</v>
      </c>
      <c r="C4" s="3">
        <v>1</v>
      </c>
      <c r="D4" s="4">
        <f t="shared" ref="D4:D15" si="0">B4*C4</f>
        <v>800</v>
      </c>
      <c r="E4" s="3">
        <v>348.5</v>
      </c>
      <c r="F4" s="3">
        <v>1</v>
      </c>
      <c r="G4" s="4">
        <f t="shared" ref="G4:G15" si="1">E4*F4</f>
        <v>348.5</v>
      </c>
      <c r="H4" s="3">
        <v>3.15</v>
      </c>
      <c r="I4" s="3">
        <v>1</v>
      </c>
      <c r="J4" s="4">
        <f t="shared" ref="J4:J15" si="2">H4*I4</f>
        <v>3.15</v>
      </c>
      <c r="K4" s="3">
        <v>3</v>
      </c>
      <c r="L4" s="3">
        <v>1</v>
      </c>
      <c r="M4" s="4">
        <f t="shared" ref="M4:M15" si="3">K4*L4</f>
        <v>3</v>
      </c>
      <c r="N4" s="3">
        <v>0.1</v>
      </c>
      <c r="O4" s="3">
        <v>1</v>
      </c>
      <c r="P4" s="4">
        <f t="shared" ref="P4:P15" si="4">N4*O4</f>
        <v>0.1</v>
      </c>
      <c r="Q4" s="3">
        <v>139</v>
      </c>
      <c r="R4" s="3">
        <v>1</v>
      </c>
      <c r="S4" s="4">
        <f t="shared" ref="S4:S15" si="5">Q4*R4</f>
        <v>139</v>
      </c>
      <c r="T4" s="5"/>
      <c r="U4" s="23">
        <f t="shared" ref="U4:U15" si="6">S4*($B$19/$B$20)</f>
        <v>131.47393048128342</v>
      </c>
      <c r="V4" s="18">
        <f t="shared" ref="V4:V15" si="7">D4-G4</f>
        <v>451.5</v>
      </c>
      <c r="W4" s="24">
        <f t="shared" ref="W4:W15" si="8">(J4+M4)/2</f>
        <v>3.0750000000000002</v>
      </c>
      <c r="X4" s="21">
        <f t="shared" ref="X4:X15" si="9">3*($B$21/2)*W4^2</f>
        <v>89.35565625000001</v>
      </c>
      <c r="Y4" s="22">
        <v>285</v>
      </c>
      <c r="Z4" s="21">
        <f t="shared" ref="Z4:Z15" si="10">V4-X4-Y4</f>
        <v>77.144343749999962</v>
      </c>
    </row>
    <row r="5" spans="1:26" x14ac:dyDescent="0.25">
      <c r="A5" s="2">
        <v>3</v>
      </c>
      <c r="B5" s="3">
        <v>810.5</v>
      </c>
      <c r="C5" s="3">
        <v>1</v>
      </c>
      <c r="D5" s="4">
        <f t="shared" si="0"/>
        <v>810.5</v>
      </c>
      <c r="E5" s="3">
        <v>343</v>
      </c>
      <c r="F5" s="3">
        <v>1</v>
      </c>
      <c r="G5" s="4">
        <f t="shared" si="1"/>
        <v>343</v>
      </c>
      <c r="H5" s="3">
        <v>3.16</v>
      </c>
      <c r="I5" s="3">
        <v>1</v>
      </c>
      <c r="J5" s="4">
        <f t="shared" si="2"/>
        <v>3.16</v>
      </c>
      <c r="K5" s="3">
        <v>3</v>
      </c>
      <c r="L5" s="3">
        <v>1</v>
      </c>
      <c r="M5" s="4">
        <f t="shared" si="3"/>
        <v>3</v>
      </c>
      <c r="N5" s="3">
        <v>0.2</v>
      </c>
      <c r="O5" s="3">
        <v>1</v>
      </c>
      <c r="P5" s="4">
        <f t="shared" si="4"/>
        <v>0.2</v>
      </c>
      <c r="Q5" s="3">
        <v>217</v>
      </c>
      <c r="R5" s="3">
        <v>1</v>
      </c>
      <c r="S5" s="4">
        <f t="shared" si="5"/>
        <v>217</v>
      </c>
      <c r="T5" s="5"/>
      <c r="U5" s="23">
        <f t="shared" si="6"/>
        <v>205.25066844919786</v>
      </c>
      <c r="V5" s="18">
        <f t="shared" si="7"/>
        <v>467.5</v>
      </c>
      <c r="W5" s="24">
        <f t="shared" si="8"/>
        <v>3.08</v>
      </c>
      <c r="X5" s="21">
        <f t="shared" si="9"/>
        <v>89.646479999999997</v>
      </c>
      <c r="Y5" s="22">
        <v>285</v>
      </c>
      <c r="Z5" s="21">
        <f t="shared" si="10"/>
        <v>92.853520000000003</v>
      </c>
    </row>
    <row r="6" spans="1:26" x14ac:dyDescent="0.25">
      <c r="A6" s="2">
        <v>4</v>
      </c>
      <c r="B6" s="3">
        <v>815.5</v>
      </c>
      <c r="C6" s="3">
        <v>1</v>
      </c>
      <c r="D6" s="4">
        <f t="shared" si="0"/>
        <v>815.5</v>
      </c>
      <c r="E6" s="3">
        <v>338</v>
      </c>
      <c r="F6" s="3">
        <v>1</v>
      </c>
      <c r="G6" s="4">
        <f t="shared" si="1"/>
        <v>338</v>
      </c>
      <c r="H6" s="3">
        <v>3.17</v>
      </c>
      <c r="I6" s="3">
        <v>1</v>
      </c>
      <c r="J6" s="4">
        <f t="shared" si="2"/>
        <v>3.17</v>
      </c>
      <c r="K6" s="3">
        <v>2.97</v>
      </c>
      <c r="L6" s="3">
        <v>1</v>
      </c>
      <c r="M6" s="4">
        <f t="shared" si="3"/>
        <v>2.97</v>
      </c>
      <c r="N6" s="3">
        <v>0.3</v>
      </c>
      <c r="O6" s="3">
        <v>1</v>
      </c>
      <c r="P6" s="4">
        <f t="shared" si="4"/>
        <v>0.3</v>
      </c>
      <c r="Q6" s="3">
        <v>258</v>
      </c>
      <c r="R6" s="3">
        <v>1</v>
      </c>
      <c r="S6" s="4">
        <f t="shared" si="5"/>
        <v>258</v>
      </c>
      <c r="T6" s="5"/>
      <c r="U6" s="23">
        <f t="shared" si="6"/>
        <v>244.0307486631016</v>
      </c>
      <c r="V6" s="18">
        <f t="shared" si="7"/>
        <v>477.5</v>
      </c>
      <c r="W6" s="24">
        <f t="shared" si="8"/>
        <v>3.0700000000000003</v>
      </c>
      <c r="X6" s="21">
        <f t="shared" si="9"/>
        <v>89.065305000000009</v>
      </c>
      <c r="Y6" s="22">
        <v>285</v>
      </c>
      <c r="Z6" s="21">
        <f t="shared" si="10"/>
        <v>103.43469499999998</v>
      </c>
    </row>
    <row r="7" spans="1:26" x14ac:dyDescent="0.25">
      <c r="A7" s="2">
        <v>5</v>
      </c>
      <c r="B7" s="3">
        <v>829</v>
      </c>
      <c r="C7" s="3">
        <v>1</v>
      </c>
      <c r="D7" s="4">
        <f t="shared" si="0"/>
        <v>829</v>
      </c>
      <c r="E7" s="3">
        <v>339</v>
      </c>
      <c r="F7" s="3">
        <v>1</v>
      </c>
      <c r="G7" s="4">
        <f t="shared" si="1"/>
        <v>339</v>
      </c>
      <c r="H7" s="3">
        <v>3.19</v>
      </c>
      <c r="I7" s="3">
        <v>1</v>
      </c>
      <c r="J7" s="4">
        <f t="shared" si="2"/>
        <v>3.19</v>
      </c>
      <c r="K7" s="3">
        <v>2.99</v>
      </c>
      <c r="L7" s="3">
        <v>1</v>
      </c>
      <c r="M7" s="4">
        <f t="shared" si="3"/>
        <v>2.99</v>
      </c>
      <c r="N7" s="3">
        <v>0.4</v>
      </c>
      <c r="O7" s="3">
        <v>1</v>
      </c>
      <c r="P7" s="4">
        <f t="shared" si="4"/>
        <v>0.4</v>
      </c>
      <c r="Q7" s="3">
        <v>283</v>
      </c>
      <c r="R7" s="3">
        <v>1</v>
      </c>
      <c r="S7" s="4">
        <f t="shared" si="5"/>
        <v>283</v>
      </c>
      <c r="T7" s="5"/>
      <c r="U7" s="23">
        <f t="shared" si="6"/>
        <v>267.67713903743316</v>
      </c>
      <c r="V7" s="18">
        <f t="shared" si="7"/>
        <v>490</v>
      </c>
      <c r="W7" s="24">
        <f t="shared" si="8"/>
        <v>3.09</v>
      </c>
      <c r="X7" s="21">
        <f t="shared" si="9"/>
        <v>90.229544999999987</v>
      </c>
      <c r="Y7" s="22">
        <v>285</v>
      </c>
      <c r="Z7" s="21">
        <f t="shared" si="10"/>
        <v>114.77045500000003</v>
      </c>
    </row>
    <row r="8" spans="1:26" x14ac:dyDescent="0.25">
      <c r="A8" s="2">
        <v>6</v>
      </c>
      <c r="B8" s="3">
        <v>829.5</v>
      </c>
      <c r="C8" s="3">
        <v>1</v>
      </c>
      <c r="D8" s="4">
        <f t="shared" si="0"/>
        <v>829.5</v>
      </c>
      <c r="E8" s="3">
        <v>330.5</v>
      </c>
      <c r="F8" s="3">
        <v>1</v>
      </c>
      <c r="G8" s="4">
        <f t="shared" si="1"/>
        <v>330.5</v>
      </c>
      <c r="H8" s="3">
        <v>3.16</v>
      </c>
      <c r="I8" s="3">
        <v>1</v>
      </c>
      <c r="J8" s="4">
        <f t="shared" si="2"/>
        <v>3.16</v>
      </c>
      <c r="K8" s="3">
        <v>2.99</v>
      </c>
      <c r="L8" s="3">
        <v>1</v>
      </c>
      <c r="M8" s="4">
        <f t="shared" si="3"/>
        <v>2.99</v>
      </c>
      <c r="N8" s="3">
        <v>0.5</v>
      </c>
      <c r="O8" s="3">
        <v>1</v>
      </c>
      <c r="P8" s="4">
        <f t="shared" si="4"/>
        <v>0.5</v>
      </c>
      <c r="Q8" s="3">
        <v>300</v>
      </c>
      <c r="R8" s="3">
        <v>1</v>
      </c>
      <c r="S8" s="4">
        <f t="shared" si="5"/>
        <v>300</v>
      </c>
      <c r="T8" s="5"/>
      <c r="U8" s="23">
        <f t="shared" si="6"/>
        <v>283.7566844919786</v>
      </c>
      <c r="V8" s="18">
        <f t="shared" si="7"/>
        <v>499</v>
      </c>
      <c r="W8" s="24">
        <f t="shared" si="8"/>
        <v>3.0750000000000002</v>
      </c>
      <c r="X8" s="21">
        <f t="shared" si="9"/>
        <v>89.35565625000001</v>
      </c>
      <c r="Y8" s="22">
        <v>285</v>
      </c>
      <c r="Z8" s="21">
        <f t="shared" si="10"/>
        <v>124.64434374999996</v>
      </c>
    </row>
    <row r="9" spans="1:26" x14ac:dyDescent="0.25">
      <c r="A9" s="2">
        <v>7</v>
      </c>
      <c r="B9" s="3">
        <v>837.5</v>
      </c>
      <c r="C9" s="3">
        <v>1</v>
      </c>
      <c r="D9" s="4">
        <f t="shared" si="0"/>
        <v>837.5</v>
      </c>
      <c r="E9" s="3">
        <v>332</v>
      </c>
      <c r="F9" s="3">
        <v>1</v>
      </c>
      <c r="G9" s="4">
        <f t="shared" si="1"/>
        <v>332</v>
      </c>
      <c r="H9" s="3">
        <v>3.16</v>
      </c>
      <c r="I9" s="3">
        <v>1</v>
      </c>
      <c r="J9" s="4">
        <f t="shared" si="2"/>
        <v>3.16</v>
      </c>
      <c r="K9" s="3">
        <v>2.99</v>
      </c>
      <c r="L9" s="3">
        <v>1</v>
      </c>
      <c r="M9" s="4">
        <f t="shared" si="3"/>
        <v>2.99</v>
      </c>
      <c r="N9" s="3">
        <v>0.59</v>
      </c>
      <c r="O9" s="3">
        <v>1</v>
      </c>
      <c r="P9" s="4">
        <f t="shared" si="4"/>
        <v>0.59</v>
      </c>
      <c r="Q9" s="3">
        <v>312</v>
      </c>
      <c r="R9" s="3">
        <v>1</v>
      </c>
      <c r="S9" s="4">
        <f t="shared" si="5"/>
        <v>312</v>
      </c>
      <c r="T9" s="5"/>
      <c r="U9" s="23">
        <f t="shared" si="6"/>
        <v>295.10695187165771</v>
      </c>
      <c r="V9" s="18">
        <f t="shared" si="7"/>
        <v>505.5</v>
      </c>
      <c r="W9" s="24">
        <f t="shared" si="8"/>
        <v>3.0750000000000002</v>
      </c>
      <c r="X9" s="21">
        <f t="shared" si="9"/>
        <v>89.35565625000001</v>
      </c>
      <c r="Y9" s="22">
        <v>285</v>
      </c>
      <c r="Z9" s="21">
        <f t="shared" si="10"/>
        <v>131.14434374999996</v>
      </c>
    </row>
    <row r="10" spans="1:26" x14ac:dyDescent="0.25">
      <c r="A10" s="2">
        <v>8</v>
      </c>
      <c r="B10" s="3">
        <v>823</v>
      </c>
      <c r="C10" s="3">
        <v>1</v>
      </c>
      <c r="D10" s="4">
        <f t="shared" si="0"/>
        <v>823</v>
      </c>
      <c r="E10" s="3">
        <v>333</v>
      </c>
      <c r="F10" s="3">
        <v>1</v>
      </c>
      <c r="G10" s="4">
        <f t="shared" si="1"/>
        <v>333</v>
      </c>
      <c r="H10" s="3">
        <v>3.15</v>
      </c>
      <c r="I10" s="3">
        <v>1</v>
      </c>
      <c r="J10" s="4">
        <f t="shared" si="2"/>
        <v>3.15</v>
      </c>
      <c r="K10" s="3">
        <v>2.98</v>
      </c>
      <c r="L10" s="3">
        <v>1</v>
      </c>
      <c r="M10" s="4">
        <f t="shared" si="3"/>
        <v>2.98</v>
      </c>
      <c r="N10" s="3">
        <v>0.5</v>
      </c>
      <c r="O10" s="3">
        <v>1</v>
      </c>
      <c r="P10" s="4">
        <f t="shared" si="4"/>
        <v>0.5</v>
      </c>
      <c r="Q10" s="3">
        <v>302</v>
      </c>
      <c r="R10" s="3">
        <v>1</v>
      </c>
      <c r="S10" s="4">
        <f t="shared" si="5"/>
        <v>302</v>
      </c>
      <c r="T10" s="5"/>
      <c r="U10" s="23">
        <f t="shared" si="6"/>
        <v>285.64839572192511</v>
      </c>
      <c r="V10" s="18">
        <f t="shared" si="7"/>
        <v>490</v>
      </c>
      <c r="W10" s="24">
        <f t="shared" si="8"/>
        <v>3.0649999999999999</v>
      </c>
      <c r="X10" s="21">
        <f t="shared" si="9"/>
        <v>88.775426249999995</v>
      </c>
      <c r="Y10" s="22">
        <v>285</v>
      </c>
      <c r="Z10" s="21">
        <f t="shared" si="10"/>
        <v>116.22457374999999</v>
      </c>
    </row>
    <row r="11" spans="1:26" x14ac:dyDescent="0.25">
      <c r="A11" s="2">
        <v>9</v>
      </c>
      <c r="B11" s="3">
        <v>815</v>
      </c>
      <c r="C11" s="3">
        <v>1</v>
      </c>
      <c r="D11" s="4">
        <f t="shared" si="0"/>
        <v>815</v>
      </c>
      <c r="E11" s="3">
        <v>330.5</v>
      </c>
      <c r="F11" s="3">
        <v>1</v>
      </c>
      <c r="G11" s="4">
        <f t="shared" si="1"/>
        <v>330.5</v>
      </c>
      <c r="H11" s="3">
        <v>3.16</v>
      </c>
      <c r="I11" s="3">
        <v>1</v>
      </c>
      <c r="J11" s="4">
        <f t="shared" si="2"/>
        <v>3.16</v>
      </c>
      <c r="K11" s="3">
        <v>2.97</v>
      </c>
      <c r="L11" s="3">
        <v>1</v>
      </c>
      <c r="M11" s="4">
        <f t="shared" si="3"/>
        <v>2.97</v>
      </c>
      <c r="N11" s="3">
        <v>0.4</v>
      </c>
      <c r="O11" s="3">
        <v>1</v>
      </c>
      <c r="P11" s="4">
        <f t="shared" si="4"/>
        <v>0.4</v>
      </c>
      <c r="Q11" s="3">
        <v>287</v>
      </c>
      <c r="R11" s="3">
        <v>1</v>
      </c>
      <c r="S11" s="4">
        <f t="shared" si="5"/>
        <v>287</v>
      </c>
      <c r="T11" s="5"/>
      <c r="U11" s="23">
        <f t="shared" si="6"/>
        <v>271.46056149732618</v>
      </c>
      <c r="V11" s="18">
        <f t="shared" si="7"/>
        <v>484.5</v>
      </c>
      <c r="W11" s="24">
        <f t="shared" si="8"/>
        <v>3.0650000000000004</v>
      </c>
      <c r="X11" s="21">
        <f t="shared" si="9"/>
        <v>88.77542625000001</v>
      </c>
      <c r="Y11" s="22">
        <v>285</v>
      </c>
      <c r="Z11" s="21">
        <f t="shared" si="10"/>
        <v>110.72457374999999</v>
      </c>
    </row>
    <row r="12" spans="1:26" x14ac:dyDescent="0.25">
      <c r="A12" s="2">
        <v>10</v>
      </c>
      <c r="B12" s="3">
        <v>811</v>
      </c>
      <c r="C12" s="3">
        <v>1</v>
      </c>
      <c r="D12" s="4">
        <f t="shared" si="0"/>
        <v>811</v>
      </c>
      <c r="E12" s="3">
        <v>338</v>
      </c>
      <c r="F12" s="3">
        <v>1</v>
      </c>
      <c r="G12" s="4">
        <f t="shared" si="1"/>
        <v>338</v>
      </c>
      <c r="H12" s="3">
        <v>3.15</v>
      </c>
      <c r="I12" s="3">
        <v>1</v>
      </c>
      <c r="J12" s="4">
        <f t="shared" si="2"/>
        <v>3.15</v>
      </c>
      <c r="K12" s="3">
        <v>2.97</v>
      </c>
      <c r="L12" s="3">
        <v>1</v>
      </c>
      <c r="M12" s="4">
        <f t="shared" si="3"/>
        <v>2.97</v>
      </c>
      <c r="N12" s="3">
        <v>0.3</v>
      </c>
      <c r="O12" s="3">
        <v>1</v>
      </c>
      <c r="P12" s="4">
        <f t="shared" si="4"/>
        <v>0.3</v>
      </c>
      <c r="Q12" s="3">
        <v>265</v>
      </c>
      <c r="R12" s="3">
        <v>1</v>
      </c>
      <c r="S12" s="4">
        <f t="shared" si="5"/>
        <v>265</v>
      </c>
      <c r="T12" s="5"/>
      <c r="U12" s="23">
        <f t="shared" si="6"/>
        <v>250.65173796791441</v>
      </c>
      <c r="V12" s="18">
        <f t="shared" si="7"/>
        <v>473</v>
      </c>
      <c r="W12" s="24">
        <f t="shared" si="8"/>
        <v>3.06</v>
      </c>
      <c r="X12" s="21">
        <f t="shared" si="9"/>
        <v>88.486019999999996</v>
      </c>
      <c r="Y12" s="22">
        <v>285</v>
      </c>
      <c r="Z12" s="21">
        <f t="shared" si="10"/>
        <v>99.513980000000004</v>
      </c>
    </row>
    <row r="13" spans="1:26" x14ac:dyDescent="0.25">
      <c r="A13" s="2">
        <v>11</v>
      </c>
      <c r="B13" s="3">
        <v>822.5</v>
      </c>
      <c r="C13" s="3">
        <v>1</v>
      </c>
      <c r="D13" s="4">
        <f t="shared" si="0"/>
        <v>822.5</v>
      </c>
      <c r="E13" s="3">
        <v>356</v>
      </c>
      <c r="F13" s="3">
        <v>1</v>
      </c>
      <c r="G13" s="4">
        <f t="shared" si="1"/>
        <v>356</v>
      </c>
      <c r="H13" s="3">
        <v>3.17</v>
      </c>
      <c r="I13" s="3">
        <v>1</v>
      </c>
      <c r="J13" s="4">
        <f t="shared" si="2"/>
        <v>3.17</v>
      </c>
      <c r="K13" s="3">
        <v>2.98</v>
      </c>
      <c r="L13" s="3">
        <v>1</v>
      </c>
      <c r="M13" s="4">
        <f t="shared" si="3"/>
        <v>2.98</v>
      </c>
      <c r="N13" s="3">
        <v>0.2</v>
      </c>
      <c r="O13" s="3">
        <v>1</v>
      </c>
      <c r="P13" s="4">
        <f t="shared" si="4"/>
        <v>0.2</v>
      </c>
      <c r="Q13" s="3">
        <v>228</v>
      </c>
      <c r="R13" s="3">
        <v>1</v>
      </c>
      <c r="S13" s="4">
        <f t="shared" si="5"/>
        <v>228</v>
      </c>
      <c r="T13" s="5"/>
      <c r="U13" s="23">
        <f t="shared" si="6"/>
        <v>215.65508021390374</v>
      </c>
      <c r="V13" s="18">
        <f t="shared" si="7"/>
        <v>466.5</v>
      </c>
      <c r="W13" s="24">
        <f t="shared" si="8"/>
        <v>3.0750000000000002</v>
      </c>
      <c r="X13" s="21">
        <f t="shared" si="9"/>
        <v>89.35565625000001</v>
      </c>
      <c r="Y13" s="22">
        <v>285</v>
      </c>
      <c r="Z13" s="21">
        <f t="shared" si="10"/>
        <v>92.144343749999962</v>
      </c>
    </row>
    <row r="14" spans="1:26" x14ac:dyDescent="0.25">
      <c r="A14" s="2">
        <v>12</v>
      </c>
      <c r="B14" s="3">
        <v>800.5</v>
      </c>
      <c r="C14" s="3">
        <v>1</v>
      </c>
      <c r="D14" s="4">
        <f t="shared" si="0"/>
        <v>800.5</v>
      </c>
      <c r="E14" s="3">
        <v>353</v>
      </c>
      <c r="F14" s="3">
        <v>1</v>
      </c>
      <c r="G14" s="4">
        <f t="shared" si="1"/>
        <v>353</v>
      </c>
      <c r="H14" s="3">
        <v>3.19</v>
      </c>
      <c r="I14" s="3">
        <v>1</v>
      </c>
      <c r="J14" s="4">
        <f t="shared" si="2"/>
        <v>3.19</v>
      </c>
      <c r="K14" s="3">
        <v>2.96</v>
      </c>
      <c r="L14" s="3">
        <v>1</v>
      </c>
      <c r="M14" s="4">
        <f t="shared" si="3"/>
        <v>2.96</v>
      </c>
      <c r="N14" s="3">
        <v>9.8000000000000004E-2</v>
      </c>
      <c r="O14" s="3">
        <v>1</v>
      </c>
      <c r="P14" s="4">
        <f t="shared" si="4"/>
        <v>9.8000000000000004E-2</v>
      </c>
      <c r="Q14" s="3">
        <v>159</v>
      </c>
      <c r="R14" s="3">
        <v>1</v>
      </c>
      <c r="S14" s="4">
        <f t="shared" si="5"/>
        <v>159</v>
      </c>
      <c r="T14" s="5"/>
      <c r="U14" s="23">
        <f t="shared" si="6"/>
        <v>150.39104278074865</v>
      </c>
      <c r="V14" s="18">
        <f t="shared" si="7"/>
        <v>447.5</v>
      </c>
      <c r="W14" s="24">
        <f t="shared" si="8"/>
        <v>3.0750000000000002</v>
      </c>
      <c r="X14" s="21">
        <f t="shared" si="9"/>
        <v>89.35565625000001</v>
      </c>
      <c r="Y14" s="22">
        <v>285</v>
      </c>
      <c r="Z14" s="21">
        <f t="shared" si="10"/>
        <v>73.144343749999962</v>
      </c>
    </row>
    <row r="15" spans="1:26" x14ac:dyDescent="0.25">
      <c r="A15" s="2">
        <v>13</v>
      </c>
      <c r="B15" s="3">
        <v>805</v>
      </c>
      <c r="C15" s="3">
        <v>1</v>
      </c>
      <c r="D15" s="4">
        <f t="shared" si="0"/>
        <v>805</v>
      </c>
      <c r="E15" s="3">
        <v>372.5</v>
      </c>
      <c r="F15" s="3">
        <v>1</v>
      </c>
      <c r="G15" s="4">
        <f t="shared" si="1"/>
        <v>372.5</v>
      </c>
      <c r="H15" s="3">
        <v>3.18</v>
      </c>
      <c r="I15" s="3">
        <v>1</v>
      </c>
      <c r="J15" s="4">
        <f t="shared" si="2"/>
        <v>3.18</v>
      </c>
      <c r="K15" s="3">
        <v>2.97</v>
      </c>
      <c r="L15" s="3">
        <v>1</v>
      </c>
      <c r="M15" s="4">
        <f t="shared" si="3"/>
        <v>2.97</v>
      </c>
      <c r="N15" s="3">
        <v>0</v>
      </c>
      <c r="O15" s="3">
        <v>1</v>
      </c>
      <c r="P15" s="4">
        <f t="shared" si="4"/>
        <v>0</v>
      </c>
      <c r="Q15" s="3">
        <v>22</v>
      </c>
      <c r="R15" s="3">
        <v>1</v>
      </c>
      <c r="S15" s="4">
        <f t="shared" si="5"/>
        <v>22</v>
      </c>
      <c r="T15" s="5"/>
      <c r="U15" s="23">
        <f t="shared" si="6"/>
        <v>20.808823529411764</v>
      </c>
      <c r="V15" s="18">
        <f t="shared" si="7"/>
        <v>432.5</v>
      </c>
      <c r="W15" s="24">
        <f t="shared" si="8"/>
        <v>3.0750000000000002</v>
      </c>
      <c r="X15" s="21">
        <f t="shared" si="9"/>
        <v>89.35565625000001</v>
      </c>
      <c r="Y15" s="22">
        <v>285</v>
      </c>
      <c r="Z15" s="21">
        <f t="shared" si="10"/>
        <v>58.144343749999962</v>
      </c>
    </row>
    <row r="19" spans="1:3" x14ac:dyDescent="0.25">
      <c r="A19" s="8" t="s">
        <v>12</v>
      </c>
      <c r="B19" s="9">
        <v>1415</v>
      </c>
      <c r="C19" s="10" t="s">
        <v>18</v>
      </c>
    </row>
    <row r="20" spans="1:3" x14ac:dyDescent="0.25">
      <c r="A20" s="8" t="s">
        <v>13</v>
      </c>
      <c r="B20" s="9">
        <v>1496</v>
      </c>
      <c r="C20" s="10" t="s">
        <v>18</v>
      </c>
    </row>
    <row r="21" spans="1:3" x14ac:dyDescent="0.25">
      <c r="A21" s="8" t="s">
        <v>14</v>
      </c>
      <c r="B21" s="9">
        <v>6.3</v>
      </c>
      <c r="C21" s="11" t="s">
        <v>17</v>
      </c>
    </row>
    <row r="22" spans="1:3" x14ac:dyDescent="0.25">
      <c r="A22" s="8" t="s">
        <v>15</v>
      </c>
      <c r="B22" s="9">
        <v>6.3</v>
      </c>
      <c r="C22" s="11" t="s">
        <v>17</v>
      </c>
    </row>
    <row r="23" spans="1:3" x14ac:dyDescent="0.25">
      <c r="A23" s="12" t="s">
        <v>16</v>
      </c>
      <c r="B23" s="13">
        <v>6.3</v>
      </c>
      <c r="C23" s="14" t="s">
        <v>17</v>
      </c>
    </row>
    <row r="24" spans="1:3" x14ac:dyDescent="0.25">
      <c r="A24" s="15"/>
      <c r="B24" s="16"/>
      <c r="C24" s="17"/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 мјерења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2021-05-09T09:36:57Z</dcterms:created>
  <dcterms:modified xsi:type="dcterms:W3CDTF">2021-05-09T15:15:34Z</dcterms:modified>
</cp:coreProperties>
</file>