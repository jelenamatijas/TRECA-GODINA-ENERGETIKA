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5" windowWidth="22995" windowHeight="10050"/>
  </bookViews>
  <sheets>
    <sheet name="Резултати мјерења" sheetId="1" r:id="rId1"/>
  </sheets>
  <calcPr calcId="144525"/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" i="1"/>
  <c r="AA19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V4" i="1" l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3" i="1"/>
  <c r="S4" i="1"/>
  <c r="S5" i="1"/>
  <c r="S6" i="1"/>
  <c r="S7" i="1"/>
  <c r="S8" i="1"/>
  <c r="S9" i="1"/>
  <c r="S10" i="1"/>
  <c r="S11" i="1"/>
  <c r="S12" i="1"/>
  <c r="S13" i="1"/>
  <c r="S14" i="1"/>
  <c r="S3" i="1"/>
  <c r="R4" i="1"/>
  <c r="R5" i="1"/>
  <c r="R6" i="1"/>
  <c r="R7" i="1"/>
  <c r="R8" i="1"/>
  <c r="R9" i="1"/>
  <c r="R10" i="1"/>
  <c r="R11" i="1"/>
  <c r="R12" i="1"/>
  <c r="R13" i="1"/>
  <c r="R14" i="1"/>
  <c r="R3" i="1"/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G4" i="1"/>
  <c r="G5" i="1"/>
  <c r="G6" i="1"/>
  <c r="G7" i="1"/>
  <c r="G8" i="1"/>
  <c r="G9" i="1"/>
  <c r="G10" i="1"/>
  <c r="G11" i="1"/>
  <c r="G12" i="1"/>
  <c r="G13" i="1"/>
  <c r="G14" i="1"/>
  <c r="G3" i="1"/>
  <c r="D4" i="1"/>
  <c r="D5" i="1"/>
  <c r="D6" i="1"/>
  <c r="D7" i="1"/>
  <c r="D8" i="1"/>
  <c r="D9" i="1"/>
  <c r="D10" i="1"/>
  <c r="D11" i="1"/>
  <c r="D12" i="1"/>
  <c r="D13" i="1"/>
  <c r="D14" i="1"/>
  <c r="D3" i="1"/>
</calcChain>
</file>

<file path=xl/sharedStrings.xml><?xml version="1.0" encoding="utf-8"?>
<sst xmlns="http://schemas.openxmlformats.org/spreadsheetml/2006/main" count="31" uniqueCount="21">
  <si>
    <t>RBM</t>
  </si>
  <si>
    <t>β</t>
  </si>
  <si>
    <t>η</t>
  </si>
  <si>
    <t>α</t>
  </si>
  <si>
    <t>k</t>
  </si>
  <si>
    <t>Ia [A]</t>
  </si>
  <si>
    <t>Ua [V]</t>
  </si>
  <si>
    <t>Ua0 [V]</t>
  </si>
  <si>
    <t>Ia0 [A]</t>
  </si>
  <si>
    <t>n0 [o/min]</t>
  </si>
  <si>
    <t>Ra [Ω]</t>
  </si>
  <si>
    <t>Ra75 [Ω]</t>
  </si>
  <si>
    <t>Ua0*Ia0 [W]</t>
  </si>
  <si>
    <t>Ra*Ia0^2 [W]</t>
  </si>
  <si>
    <t>PFe+Pfv [W]</t>
  </si>
  <si>
    <t>Ra*Ia^2 [W]</t>
  </si>
  <si>
    <t>Pe [W]</t>
  </si>
  <si>
    <t>Rp</t>
  </si>
  <si>
    <t>Ω</t>
  </si>
  <si>
    <t>Ip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</si>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</sst>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/>
    </xf>
    <xf numFmtId="2" fontId="3" fillId="2" borderId="5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2" fontId="3" fillId="2" borderId="2" xfId="1" applyNumberFormat="1" applyFont="1" applyFill="1" applyBorder="1" applyAlignment="1">
      <alignment horizontal="center" vertical="center"/>
    </xf>
    <xf numFmtId="2" fontId="3" fillId="2" borderId="3" xfId="1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"/>
  <sheetViews>
    <sheetView tabSelected="1" topLeftCell="U1" workbookViewId="0">
      <selection activeCell="AF16" sqref="AF16"/>
    </sheetView>
  </sheetViews>
  <sheetFormatPr defaultRowHeight="15" x14ac:dyDescent="0.25"/>
  <cols>
    <col min="1" max="1" width="6.28515625" style="1" bestFit="1" customWidth="1"/>
    <col min="2" max="2" width="5" style="1" bestFit="1" customWidth="1"/>
    <col min="3" max="3" width="4" style="1" bestFit="1" customWidth="1"/>
    <col min="4" max="4" width="5" style="1" bestFit="1" customWidth="1"/>
    <col min="5" max="5" width="6" style="1" bestFit="1" customWidth="1"/>
    <col min="6" max="6" width="2.28515625" style="1" bestFit="1" customWidth="1"/>
    <col min="7" max="8" width="6" style="1" bestFit="1" customWidth="1"/>
    <col min="9" max="9" width="2.28515625" style="1" bestFit="1" customWidth="1"/>
    <col min="10" max="10" width="6" style="1" bestFit="1" customWidth="1"/>
    <col min="11" max="12" width="4" style="1" bestFit="1" customWidth="1"/>
    <col min="13" max="13" width="5" style="1" bestFit="1" customWidth="1"/>
    <col min="14" max="14" width="6" style="1" bestFit="1" customWidth="1"/>
    <col min="15" max="15" width="2.28515625" style="1" bestFit="1" customWidth="1"/>
    <col min="16" max="16" width="6" style="1" bestFit="1" customWidth="1"/>
    <col min="17" max="17" width="3.28515625" style="1" customWidth="1"/>
    <col min="18" max="18" width="7.42578125" style="1" bestFit="1" customWidth="1"/>
    <col min="19" max="19" width="9.7109375" style="1" bestFit="1" customWidth="1"/>
    <col min="20" max="20" width="12.85546875" style="1" bestFit="1" customWidth="1"/>
    <col min="21" max="21" width="14.28515625" style="1" bestFit="1" customWidth="1"/>
    <col min="22" max="22" width="13.140625" style="1" bestFit="1" customWidth="1"/>
    <col min="23" max="24" width="6.42578125" style="1" bestFit="1" customWidth="1"/>
    <col min="25" max="25" width="4.42578125" style="1" bestFit="1" customWidth="1"/>
    <col min="26" max="26" width="7.42578125" style="1" bestFit="1" customWidth="1"/>
    <col min="27" max="27" width="13.140625" style="1" bestFit="1" customWidth="1"/>
    <col min="28" max="28" width="7.42578125" style="1" bestFit="1" customWidth="1"/>
    <col min="29" max="29" width="6.42578125" style="1" bestFit="1" customWidth="1"/>
    <col min="30" max="16384" width="9.140625" style="1"/>
  </cols>
  <sheetData>
    <row r="1" spans="1:29" x14ac:dyDescent="0.25">
      <c r="A1" s="21" t="s">
        <v>0</v>
      </c>
      <c r="B1" s="21" t="s">
        <v>5</v>
      </c>
      <c r="C1" s="21"/>
      <c r="D1" s="21"/>
      <c r="E1" s="21" t="s">
        <v>6</v>
      </c>
      <c r="F1" s="21"/>
      <c r="G1" s="21"/>
      <c r="H1" s="21" t="s">
        <v>7</v>
      </c>
      <c r="I1" s="21"/>
      <c r="J1" s="21"/>
      <c r="K1" s="21" t="s">
        <v>8</v>
      </c>
      <c r="L1" s="21"/>
      <c r="M1" s="21"/>
      <c r="N1" s="21" t="s">
        <v>9</v>
      </c>
      <c r="O1" s="21"/>
      <c r="P1" s="21"/>
      <c r="R1" s="2" t="s">
        <v>10</v>
      </c>
      <c r="S1" s="2" t="s">
        <v>11</v>
      </c>
      <c r="T1" s="2" t="s">
        <v>12</v>
      </c>
      <c r="U1" s="2" t="s">
        <v>13</v>
      </c>
      <c r="V1" s="14" t="s">
        <v>14</v>
      </c>
      <c r="W1" s="6"/>
      <c r="X1" s="16" t="s">
        <v>5</v>
      </c>
      <c r="Y1" s="2" t="s">
        <v>1</v>
      </c>
      <c r="Z1" s="2" t="s">
        <v>10</v>
      </c>
      <c r="AA1" s="2" t="s">
        <v>15</v>
      </c>
      <c r="AB1" s="2" t="s">
        <v>16</v>
      </c>
      <c r="AC1" s="2" t="s">
        <v>2</v>
      </c>
    </row>
    <row r="2" spans="1:29" x14ac:dyDescent="0.25">
      <c r="A2" s="21"/>
      <c r="B2" s="2" t="s">
        <v>3</v>
      </c>
      <c r="C2" s="2" t="s">
        <v>4</v>
      </c>
      <c r="D2" s="2"/>
      <c r="E2" s="2" t="s">
        <v>3</v>
      </c>
      <c r="F2" s="2" t="s">
        <v>4</v>
      </c>
      <c r="G2" s="2"/>
      <c r="H2" s="2" t="s">
        <v>3</v>
      </c>
      <c r="I2" s="2" t="s">
        <v>4</v>
      </c>
      <c r="J2" s="2"/>
      <c r="K2" s="2" t="s">
        <v>3</v>
      </c>
      <c r="L2" s="2" t="s">
        <v>4</v>
      </c>
      <c r="M2" s="2"/>
      <c r="N2" s="2" t="s">
        <v>3</v>
      </c>
      <c r="O2" s="2" t="s">
        <v>4</v>
      </c>
      <c r="P2" s="2"/>
      <c r="R2" s="3"/>
      <c r="S2" s="3"/>
      <c r="T2" s="3"/>
      <c r="U2" s="3"/>
      <c r="V2" s="15"/>
      <c r="W2" s="17"/>
      <c r="X2" s="5">
        <v>2.8800000000000003</v>
      </c>
      <c r="Y2" s="18">
        <f>X2/7.2</f>
        <v>0.4</v>
      </c>
      <c r="Z2" s="3">
        <v>2.8849999999999998</v>
      </c>
      <c r="AA2" s="3">
        <f>Z2*X2^2</f>
        <v>23.929344</v>
      </c>
      <c r="AB2" s="3">
        <f>Y2*230*7.2</f>
        <v>662.4</v>
      </c>
      <c r="AC2" s="20">
        <f>AB2/(AB2+AA2+236.81)</f>
        <v>0.71755147725563739</v>
      </c>
    </row>
    <row r="3" spans="1:29" x14ac:dyDescent="0.25">
      <c r="A3" s="2">
        <v>1</v>
      </c>
      <c r="B3" s="3">
        <v>2.2000000000000002</v>
      </c>
      <c r="C3" s="3">
        <v>0.1</v>
      </c>
      <c r="D3" s="4">
        <f>B3*C3</f>
        <v>0.22000000000000003</v>
      </c>
      <c r="E3" s="3">
        <v>0.61899999999999999</v>
      </c>
      <c r="F3" s="3">
        <v>1</v>
      </c>
      <c r="G3" s="4">
        <f>E3*F3</f>
        <v>0.61899999999999999</v>
      </c>
      <c r="H3" s="3">
        <v>40.299999999999997</v>
      </c>
      <c r="I3" s="3">
        <v>1</v>
      </c>
      <c r="J3" s="4">
        <f>H3*I3</f>
        <v>40.299999999999997</v>
      </c>
      <c r="K3" s="3">
        <v>2.9</v>
      </c>
      <c r="L3" s="3">
        <v>0.1</v>
      </c>
      <c r="M3" s="4">
        <f>K3*L3</f>
        <v>0.28999999999999998</v>
      </c>
      <c r="N3" s="3">
        <v>191.5</v>
      </c>
      <c r="O3" s="3">
        <v>1</v>
      </c>
      <c r="P3" s="4">
        <f>N3*O3</f>
        <v>191.5</v>
      </c>
      <c r="R3" s="18">
        <f>G3/D3</f>
        <v>2.813636363636363</v>
      </c>
      <c r="S3" s="18">
        <f>R3*((235+75)/(235+20))</f>
        <v>3.4204991087344019</v>
      </c>
      <c r="T3" s="18">
        <f>J3*M3</f>
        <v>11.686999999999998</v>
      </c>
      <c r="U3" s="4">
        <v>0.27687200000000001</v>
      </c>
      <c r="V3" s="19">
        <f>T3-U3</f>
        <v>11.410127999999997</v>
      </c>
      <c r="W3" s="17"/>
      <c r="X3" s="5">
        <v>3.24</v>
      </c>
      <c r="Y3" s="18">
        <f t="shared" ref="Y3:Y19" si="0">X3/7.2</f>
        <v>0.45</v>
      </c>
      <c r="Z3" s="3">
        <v>2.8210000000000002</v>
      </c>
      <c r="AA3" s="3">
        <f t="shared" ref="AA3:AA18" si="1">Z3*X3^2</f>
        <v>29.613729600000006</v>
      </c>
      <c r="AB3" s="3">
        <f t="shared" ref="AB3:AB19" si="2">Y3*230*7.2</f>
        <v>745.2</v>
      </c>
      <c r="AC3" s="20">
        <f t="shared" ref="AC3:AC19" si="3">AB3/(AB3+AA3+236.81)</f>
        <v>0.73663752460082654</v>
      </c>
    </row>
    <row r="4" spans="1:29" x14ac:dyDescent="0.25">
      <c r="A4" s="2">
        <v>2</v>
      </c>
      <c r="B4" s="3">
        <v>4.2</v>
      </c>
      <c r="C4" s="3">
        <v>0.1</v>
      </c>
      <c r="D4" s="4">
        <f t="shared" ref="D4:D14" si="4">B4*C4</f>
        <v>0.42000000000000004</v>
      </c>
      <c r="E4" s="3">
        <v>1.1819999999999999</v>
      </c>
      <c r="F4" s="3">
        <v>1</v>
      </c>
      <c r="G4" s="4">
        <f t="shared" ref="G4:G14" si="5">E4*F4</f>
        <v>1.1819999999999999</v>
      </c>
      <c r="H4" s="3">
        <v>60.3</v>
      </c>
      <c r="I4" s="3">
        <v>1</v>
      </c>
      <c r="J4" s="4">
        <f t="shared" ref="J4:J17" si="6">H4*I4</f>
        <v>60.3</v>
      </c>
      <c r="K4" s="3">
        <v>3</v>
      </c>
      <c r="L4" s="3">
        <v>0.1</v>
      </c>
      <c r="M4" s="4">
        <f t="shared" ref="M4:M17" si="7">K4*L4</f>
        <v>0.30000000000000004</v>
      </c>
      <c r="N4" s="3">
        <v>289.39999999999998</v>
      </c>
      <c r="O4" s="3">
        <v>1</v>
      </c>
      <c r="P4" s="4">
        <f t="shared" ref="P4:P17" si="8">N4*O4</f>
        <v>289.39999999999998</v>
      </c>
      <c r="R4" s="18">
        <f t="shared" ref="R4:R14" si="9">G4/D4</f>
        <v>2.8142857142857141</v>
      </c>
      <c r="S4" s="18">
        <f t="shared" ref="S4:S14" si="10">R4*((235+75)/(235+20))</f>
        <v>3.4212885154061619</v>
      </c>
      <c r="T4" s="18">
        <f t="shared" ref="T4:T17" si="11">J4*M4</f>
        <v>18.090000000000003</v>
      </c>
      <c r="U4" s="4">
        <v>0.289219</v>
      </c>
      <c r="V4" s="19">
        <f t="shared" ref="V4:V17" si="12">T4-U4</f>
        <v>17.800781000000004</v>
      </c>
      <c r="W4" s="17"/>
      <c r="X4" s="5">
        <v>3.6</v>
      </c>
      <c r="Y4" s="18">
        <f t="shared" si="0"/>
        <v>0.5</v>
      </c>
      <c r="Z4" s="3">
        <v>2.79</v>
      </c>
      <c r="AA4" s="3">
        <f t="shared" si="1"/>
        <v>36.1584</v>
      </c>
      <c r="AB4" s="3">
        <f t="shared" si="2"/>
        <v>828</v>
      </c>
      <c r="AC4" s="20">
        <f t="shared" si="3"/>
        <v>0.75206518188896254</v>
      </c>
    </row>
    <row r="5" spans="1:29" x14ac:dyDescent="0.25">
      <c r="A5" s="2">
        <v>3</v>
      </c>
      <c r="B5" s="3">
        <v>6.2</v>
      </c>
      <c r="C5" s="3">
        <v>0.1</v>
      </c>
      <c r="D5" s="4">
        <f t="shared" si="4"/>
        <v>0.62000000000000011</v>
      </c>
      <c r="E5" s="3">
        <v>1.7050000000000001</v>
      </c>
      <c r="F5" s="3">
        <v>1</v>
      </c>
      <c r="G5" s="4">
        <f t="shared" si="5"/>
        <v>1.7050000000000001</v>
      </c>
      <c r="H5" s="3">
        <v>81.099999999999994</v>
      </c>
      <c r="I5" s="3">
        <v>1</v>
      </c>
      <c r="J5" s="4">
        <f t="shared" si="6"/>
        <v>81.099999999999994</v>
      </c>
      <c r="K5" s="3">
        <v>3.2</v>
      </c>
      <c r="L5" s="3">
        <v>0.1</v>
      </c>
      <c r="M5" s="4">
        <f t="shared" si="7"/>
        <v>0.32000000000000006</v>
      </c>
      <c r="N5" s="3">
        <v>392.8</v>
      </c>
      <c r="O5" s="3">
        <v>1</v>
      </c>
      <c r="P5" s="4">
        <f t="shared" si="8"/>
        <v>392.8</v>
      </c>
      <c r="R5" s="18">
        <f t="shared" si="9"/>
        <v>2.7499999999999996</v>
      </c>
      <c r="S5" s="18">
        <f t="shared" si="10"/>
        <v>3.34313725490196</v>
      </c>
      <c r="T5" s="18">
        <f t="shared" si="11"/>
        <v>25.952000000000002</v>
      </c>
      <c r="U5" s="4">
        <v>0.32906600000000003</v>
      </c>
      <c r="V5" s="19">
        <f t="shared" si="12"/>
        <v>25.622934000000001</v>
      </c>
      <c r="W5" s="17"/>
      <c r="X5" s="5">
        <v>3.9600000000000004</v>
      </c>
      <c r="Y5" s="18">
        <f t="shared" si="0"/>
        <v>0.55000000000000004</v>
      </c>
      <c r="Z5" s="3">
        <v>2.7610000000000001</v>
      </c>
      <c r="AA5" s="3">
        <f t="shared" si="1"/>
        <v>43.296897600000008</v>
      </c>
      <c r="AB5" s="3">
        <f t="shared" si="2"/>
        <v>910.80000000000007</v>
      </c>
      <c r="AC5" s="20">
        <f t="shared" si="3"/>
        <v>0.76479530166086762</v>
      </c>
    </row>
    <row r="6" spans="1:29" x14ac:dyDescent="0.25">
      <c r="A6" s="2">
        <v>4</v>
      </c>
      <c r="B6" s="3">
        <v>8.4</v>
      </c>
      <c r="C6" s="3">
        <v>0.1</v>
      </c>
      <c r="D6" s="4">
        <f t="shared" si="4"/>
        <v>0.84000000000000008</v>
      </c>
      <c r="E6" s="3">
        <v>2.2799999999999998</v>
      </c>
      <c r="F6" s="3">
        <v>1</v>
      </c>
      <c r="G6" s="4">
        <f t="shared" si="5"/>
        <v>2.2799999999999998</v>
      </c>
      <c r="H6" s="3">
        <v>100.3</v>
      </c>
      <c r="I6" s="3">
        <v>1</v>
      </c>
      <c r="J6" s="4">
        <f t="shared" si="6"/>
        <v>100.3</v>
      </c>
      <c r="K6" s="3">
        <v>3.2</v>
      </c>
      <c r="L6" s="3">
        <v>0.1</v>
      </c>
      <c r="M6" s="4">
        <f t="shared" si="7"/>
        <v>0.32000000000000006</v>
      </c>
      <c r="N6" s="3">
        <v>489.8</v>
      </c>
      <c r="O6" s="3">
        <v>1</v>
      </c>
      <c r="P6" s="4">
        <f t="shared" si="8"/>
        <v>489.8</v>
      </c>
      <c r="R6" s="18">
        <f t="shared" si="9"/>
        <v>2.714285714285714</v>
      </c>
      <c r="S6" s="18">
        <f t="shared" si="10"/>
        <v>3.2997198879551815</v>
      </c>
      <c r="T6" s="18">
        <f t="shared" si="11"/>
        <v>32.096000000000004</v>
      </c>
      <c r="U6" s="4">
        <v>0.32906600000000003</v>
      </c>
      <c r="V6" s="19">
        <f t="shared" si="12"/>
        <v>31.766934000000003</v>
      </c>
      <c r="W6" s="17"/>
      <c r="X6" s="5">
        <v>4.32</v>
      </c>
      <c r="Y6" s="18">
        <f t="shared" si="0"/>
        <v>0.6</v>
      </c>
      <c r="Z6" s="3">
        <v>2.7330000000000001</v>
      </c>
      <c r="AA6" s="3">
        <f t="shared" si="1"/>
        <v>51.004339200000004</v>
      </c>
      <c r="AB6" s="3">
        <f t="shared" si="2"/>
        <v>993.6</v>
      </c>
      <c r="AC6" s="20">
        <f t="shared" si="3"/>
        <v>0.77539322731499516</v>
      </c>
    </row>
    <row r="7" spans="1:29" x14ac:dyDescent="0.25">
      <c r="A7" s="2">
        <v>5</v>
      </c>
      <c r="B7" s="3">
        <v>10.1</v>
      </c>
      <c r="C7" s="3">
        <v>0.1</v>
      </c>
      <c r="D7" s="4">
        <f t="shared" si="4"/>
        <v>1.01</v>
      </c>
      <c r="E7" s="3">
        <v>2.71</v>
      </c>
      <c r="F7" s="3">
        <v>1</v>
      </c>
      <c r="G7" s="4">
        <f t="shared" si="5"/>
        <v>2.71</v>
      </c>
      <c r="H7" s="3">
        <v>122.2</v>
      </c>
      <c r="I7" s="3">
        <v>1</v>
      </c>
      <c r="J7" s="4">
        <f t="shared" si="6"/>
        <v>122.2</v>
      </c>
      <c r="K7" s="3">
        <v>3.3</v>
      </c>
      <c r="L7" s="3">
        <v>0.1</v>
      </c>
      <c r="M7" s="4">
        <f t="shared" si="7"/>
        <v>0.33</v>
      </c>
      <c r="N7" s="3">
        <v>596.6</v>
      </c>
      <c r="O7" s="3">
        <v>1</v>
      </c>
      <c r="P7" s="4">
        <f t="shared" si="8"/>
        <v>596.6</v>
      </c>
      <c r="R7" s="18">
        <f t="shared" si="9"/>
        <v>2.6831683168316833</v>
      </c>
      <c r="S7" s="18">
        <f t="shared" si="10"/>
        <v>3.2618908949718501</v>
      </c>
      <c r="T7" s="18">
        <f t="shared" si="11"/>
        <v>40.326000000000001</v>
      </c>
      <c r="U7" s="4">
        <v>0.347437</v>
      </c>
      <c r="V7" s="19">
        <f t="shared" si="12"/>
        <v>39.978563000000001</v>
      </c>
      <c r="W7" s="17"/>
      <c r="X7" s="5">
        <v>4.6800000000000006</v>
      </c>
      <c r="Y7" s="18">
        <f t="shared" si="0"/>
        <v>0.65</v>
      </c>
      <c r="Z7" s="3">
        <v>2.7080000000000002</v>
      </c>
      <c r="AA7" s="3">
        <f t="shared" si="1"/>
        <v>59.311699200000021</v>
      </c>
      <c r="AB7" s="3">
        <f t="shared" si="2"/>
        <v>1076.4000000000001</v>
      </c>
      <c r="AC7" s="20">
        <f t="shared" si="3"/>
        <v>0.78424989610539486</v>
      </c>
    </row>
    <row r="8" spans="1:29" x14ac:dyDescent="0.25">
      <c r="A8" s="2">
        <v>6</v>
      </c>
      <c r="B8" s="3">
        <v>20</v>
      </c>
      <c r="C8" s="3">
        <v>0.1</v>
      </c>
      <c r="D8" s="4">
        <f t="shared" si="4"/>
        <v>2</v>
      </c>
      <c r="E8" s="3">
        <v>4.8600000000000003</v>
      </c>
      <c r="F8" s="3">
        <v>1</v>
      </c>
      <c r="G8" s="4">
        <f t="shared" si="5"/>
        <v>4.8600000000000003</v>
      </c>
      <c r="H8" s="3">
        <v>141.30000000000001</v>
      </c>
      <c r="I8" s="3">
        <v>1</v>
      </c>
      <c r="J8" s="4">
        <f t="shared" si="6"/>
        <v>141.30000000000001</v>
      </c>
      <c r="K8" s="3">
        <v>3.3</v>
      </c>
      <c r="L8" s="3">
        <v>0.1</v>
      </c>
      <c r="M8" s="4">
        <f t="shared" si="7"/>
        <v>0.33</v>
      </c>
      <c r="N8" s="3">
        <v>698.6</v>
      </c>
      <c r="O8" s="3">
        <v>1</v>
      </c>
      <c r="P8" s="4">
        <f t="shared" si="8"/>
        <v>698.6</v>
      </c>
      <c r="R8" s="18">
        <f t="shared" si="9"/>
        <v>2.4300000000000002</v>
      </c>
      <c r="S8" s="18">
        <f t="shared" si="10"/>
        <v>2.9541176470588235</v>
      </c>
      <c r="T8" s="18">
        <f t="shared" si="11"/>
        <v>46.629000000000005</v>
      </c>
      <c r="U8" s="4">
        <v>0.347437</v>
      </c>
      <c r="V8" s="19">
        <f t="shared" si="12"/>
        <v>46.281563000000006</v>
      </c>
      <c r="W8" s="17"/>
      <c r="X8" s="5">
        <v>5.04</v>
      </c>
      <c r="Y8" s="18">
        <f t="shared" si="0"/>
        <v>0.7</v>
      </c>
      <c r="Z8" s="3">
        <v>2.6829999999999998</v>
      </c>
      <c r="AA8" s="3">
        <f t="shared" si="1"/>
        <v>68.152492800000005</v>
      </c>
      <c r="AB8" s="3">
        <f t="shared" si="2"/>
        <v>1159.2</v>
      </c>
      <c r="AC8" s="20">
        <f t="shared" si="3"/>
        <v>0.79171540433548249</v>
      </c>
    </row>
    <row r="9" spans="1:29" x14ac:dyDescent="0.25">
      <c r="A9" s="2">
        <v>7</v>
      </c>
      <c r="B9" s="3">
        <v>30.5</v>
      </c>
      <c r="C9" s="3">
        <v>0.1</v>
      </c>
      <c r="D9" s="4">
        <f t="shared" si="4"/>
        <v>3.0500000000000003</v>
      </c>
      <c r="E9" s="3">
        <v>6.8</v>
      </c>
      <c r="F9" s="3">
        <v>1</v>
      </c>
      <c r="G9" s="4">
        <f t="shared" si="5"/>
        <v>6.8</v>
      </c>
      <c r="H9" s="3">
        <v>160.1</v>
      </c>
      <c r="I9" s="3">
        <v>1</v>
      </c>
      <c r="J9" s="4">
        <f t="shared" si="6"/>
        <v>160.1</v>
      </c>
      <c r="K9" s="3">
        <v>3.4</v>
      </c>
      <c r="L9" s="3">
        <v>0.1</v>
      </c>
      <c r="M9" s="4">
        <f t="shared" si="7"/>
        <v>0.34</v>
      </c>
      <c r="N9" s="3">
        <v>796.7</v>
      </c>
      <c r="O9" s="3">
        <v>1</v>
      </c>
      <c r="P9" s="4">
        <f t="shared" si="8"/>
        <v>796.7</v>
      </c>
      <c r="R9" s="18">
        <f t="shared" si="9"/>
        <v>2.2295081967213113</v>
      </c>
      <c r="S9" s="18">
        <f t="shared" si="10"/>
        <v>2.7103825136612016</v>
      </c>
      <c r="T9" s="18">
        <f t="shared" si="11"/>
        <v>54.434000000000005</v>
      </c>
      <c r="U9" s="4">
        <v>0.36629099999999998</v>
      </c>
      <c r="V9" s="19">
        <f t="shared" si="12"/>
        <v>54.067709000000008</v>
      </c>
      <c r="W9" s="17"/>
      <c r="X9" s="5">
        <v>5.4</v>
      </c>
      <c r="Y9" s="18">
        <f t="shared" si="0"/>
        <v>0.75</v>
      </c>
      <c r="Z9" s="3">
        <v>2.66</v>
      </c>
      <c r="AA9" s="3">
        <f t="shared" si="1"/>
        <v>77.565600000000018</v>
      </c>
      <c r="AB9" s="3">
        <f t="shared" si="2"/>
        <v>1242</v>
      </c>
      <c r="AC9" s="20">
        <f t="shared" si="3"/>
        <v>0.79800788447210314</v>
      </c>
    </row>
    <row r="10" spans="1:29" x14ac:dyDescent="0.25">
      <c r="A10" s="2">
        <v>8</v>
      </c>
      <c r="B10" s="3">
        <v>40.299999999999997</v>
      </c>
      <c r="C10" s="3">
        <v>0.1</v>
      </c>
      <c r="D10" s="4">
        <f t="shared" si="4"/>
        <v>4.03</v>
      </c>
      <c r="E10" s="3">
        <v>8.86</v>
      </c>
      <c r="F10" s="3">
        <v>1</v>
      </c>
      <c r="G10" s="4">
        <f t="shared" si="5"/>
        <v>8.86</v>
      </c>
      <c r="H10" s="3">
        <v>180.4</v>
      </c>
      <c r="I10" s="3">
        <v>1</v>
      </c>
      <c r="J10" s="4">
        <f t="shared" si="6"/>
        <v>180.4</v>
      </c>
      <c r="K10" s="3">
        <v>3.5</v>
      </c>
      <c r="L10" s="3">
        <v>0.1</v>
      </c>
      <c r="M10" s="4">
        <f t="shared" si="7"/>
        <v>0.35000000000000003</v>
      </c>
      <c r="N10" s="3">
        <v>888.3</v>
      </c>
      <c r="O10" s="3">
        <v>1</v>
      </c>
      <c r="P10" s="4">
        <f t="shared" si="8"/>
        <v>888.3</v>
      </c>
      <c r="R10" s="18">
        <f t="shared" si="9"/>
        <v>2.1985111662531014</v>
      </c>
      <c r="S10" s="18">
        <f t="shared" si="10"/>
        <v>2.6726998491704368</v>
      </c>
      <c r="T10" s="18">
        <f t="shared" si="11"/>
        <v>63.140000000000008</v>
      </c>
      <c r="U10" s="4">
        <v>0.38562999999999997</v>
      </c>
      <c r="V10" s="19">
        <f t="shared" si="12"/>
        <v>62.754370000000009</v>
      </c>
      <c r="W10" s="17"/>
      <c r="X10" s="5">
        <v>5.7600000000000007</v>
      </c>
      <c r="Y10" s="18">
        <f t="shared" si="0"/>
        <v>0.8</v>
      </c>
      <c r="Z10" s="3">
        <v>2.637</v>
      </c>
      <c r="AA10" s="3">
        <f t="shared" si="1"/>
        <v>87.489331200000009</v>
      </c>
      <c r="AB10" s="3">
        <f t="shared" si="2"/>
        <v>1324.8</v>
      </c>
      <c r="AC10" s="20">
        <f t="shared" si="3"/>
        <v>0.80334760613600087</v>
      </c>
    </row>
    <row r="11" spans="1:29" x14ac:dyDescent="0.25">
      <c r="A11" s="2">
        <v>9</v>
      </c>
      <c r="B11" s="3">
        <v>50.3</v>
      </c>
      <c r="C11" s="3">
        <v>0.1</v>
      </c>
      <c r="D11" s="4">
        <f t="shared" si="4"/>
        <v>5.03</v>
      </c>
      <c r="E11" s="3">
        <v>10.95</v>
      </c>
      <c r="F11" s="3">
        <v>1</v>
      </c>
      <c r="G11" s="4">
        <f t="shared" si="5"/>
        <v>10.95</v>
      </c>
      <c r="H11" s="3">
        <v>199</v>
      </c>
      <c r="I11" s="3">
        <v>1</v>
      </c>
      <c r="J11" s="4">
        <f t="shared" si="6"/>
        <v>199</v>
      </c>
      <c r="K11" s="3">
        <v>3.6</v>
      </c>
      <c r="L11" s="3">
        <v>0.1</v>
      </c>
      <c r="M11" s="4">
        <f t="shared" si="7"/>
        <v>0.36000000000000004</v>
      </c>
      <c r="N11" s="3">
        <v>985</v>
      </c>
      <c r="O11" s="3">
        <v>1</v>
      </c>
      <c r="P11" s="4">
        <f t="shared" si="8"/>
        <v>985</v>
      </c>
      <c r="R11" s="18">
        <f t="shared" si="9"/>
        <v>2.1769383697813121</v>
      </c>
      <c r="S11" s="18">
        <f t="shared" si="10"/>
        <v>2.6464740965968891</v>
      </c>
      <c r="T11" s="18">
        <f t="shared" si="11"/>
        <v>71.640000000000015</v>
      </c>
      <c r="U11" s="4">
        <v>0.40545399999999998</v>
      </c>
      <c r="V11" s="19">
        <f t="shared" si="12"/>
        <v>71.234546000000009</v>
      </c>
      <c r="W11" s="17"/>
      <c r="X11" s="5">
        <v>6.12</v>
      </c>
      <c r="Y11" s="18">
        <f t="shared" si="0"/>
        <v>0.85</v>
      </c>
      <c r="Z11" s="3">
        <v>2.6160000000000001</v>
      </c>
      <c r="AA11" s="3">
        <f t="shared" si="1"/>
        <v>97.980710400000007</v>
      </c>
      <c r="AB11" s="3">
        <f t="shared" si="2"/>
        <v>1407.6000000000001</v>
      </c>
      <c r="AC11" s="20">
        <f t="shared" si="3"/>
        <v>0.80785554674867266</v>
      </c>
    </row>
    <row r="12" spans="1:29" x14ac:dyDescent="0.25">
      <c r="A12" s="2">
        <v>10</v>
      </c>
      <c r="B12" s="3">
        <v>61.2</v>
      </c>
      <c r="C12" s="3">
        <v>0.1</v>
      </c>
      <c r="D12" s="4">
        <f t="shared" si="4"/>
        <v>6.120000000000001</v>
      </c>
      <c r="E12" s="3">
        <v>13.05</v>
      </c>
      <c r="F12" s="3">
        <v>1</v>
      </c>
      <c r="G12" s="4">
        <f t="shared" si="5"/>
        <v>13.05</v>
      </c>
      <c r="H12" s="3">
        <v>220</v>
      </c>
      <c r="I12" s="3">
        <v>1</v>
      </c>
      <c r="J12" s="4">
        <f t="shared" si="6"/>
        <v>220</v>
      </c>
      <c r="K12" s="3">
        <v>3.7</v>
      </c>
      <c r="L12" s="3">
        <v>0.1</v>
      </c>
      <c r="M12" s="4">
        <f t="shared" si="7"/>
        <v>0.37000000000000005</v>
      </c>
      <c r="N12" s="3">
        <v>1091</v>
      </c>
      <c r="O12" s="3">
        <v>1</v>
      </c>
      <c r="P12" s="4">
        <f t="shared" si="8"/>
        <v>1091</v>
      </c>
      <c r="R12" s="18">
        <f t="shared" si="9"/>
        <v>2.1323529411764706</v>
      </c>
      <c r="S12" s="18">
        <f t="shared" si="10"/>
        <v>2.5922722029988465</v>
      </c>
      <c r="T12" s="18">
        <f t="shared" si="11"/>
        <v>81.400000000000006</v>
      </c>
      <c r="U12" s="4">
        <v>0.42576000000000003</v>
      </c>
      <c r="V12" s="19">
        <f t="shared" si="12"/>
        <v>80.974240000000009</v>
      </c>
      <c r="W12" s="17"/>
      <c r="X12" s="5">
        <v>6.48</v>
      </c>
      <c r="Y12" s="18">
        <f t="shared" si="0"/>
        <v>0.9</v>
      </c>
      <c r="Z12" s="3">
        <v>2.5950000000000002</v>
      </c>
      <c r="AA12" s="3">
        <f t="shared" si="1"/>
        <v>108.96508800000002</v>
      </c>
      <c r="AB12" s="3">
        <f t="shared" si="2"/>
        <v>1490.4</v>
      </c>
      <c r="AC12" s="20">
        <f t="shared" si="3"/>
        <v>0.81168730026904723</v>
      </c>
    </row>
    <row r="13" spans="1:29" x14ac:dyDescent="0.25">
      <c r="A13" s="2">
        <v>11</v>
      </c>
      <c r="B13" s="3">
        <v>70.599999999999994</v>
      </c>
      <c r="C13" s="3">
        <v>0.1</v>
      </c>
      <c r="D13" s="4">
        <f t="shared" si="4"/>
        <v>7.06</v>
      </c>
      <c r="E13" s="3">
        <v>14.7</v>
      </c>
      <c r="F13" s="3">
        <v>1</v>
      </c>
      <c r="G13" s="4">
        <f t="shared" si="5"/>
        <v>14.7</v>
      </c>
      <c r="H13" s="3">
        <v>240</v>
      </c>
      <c r="I13" s="3">
        <v>1</v>
      </c>
      <c r="J13" s="4">
        <f t="shared" si="6"/>
        <v>240</v>
      </c>
      <c r="K13" s="3">
        <v>3.8</v>
      </c>
      <c r="L13" s="3">
        <v>0.1</v>
      </c>
      <c r="M13" s="4">
        <f t="shared" si="7"/>
        <v>0.38</v>
      </c>
      <c r="N13" s="3">
        <v>1190</v>
      </c>
      <c r="O13" s="3">
        <v>1</v>
      </c>
      <c r="P13" s="4">
        <f t="shared" si="8"/>
        <v>1190</v>
      </c>
      <c r="R13" s="18">
        <f t="shared" si="9"/>
        <v>2.0821529745042495</v>
      </c>
      <c r="S13" s="18">
        <f t="shared" si="10"/>
        <v>2.5312447925345776</v>
      </c>
      <c r="T13" s="18">
        <f t="shared" si="11"/>
        <v>91.2</v>
      </c>
      <c r="U13" s="4">
        <v>0.44655099999999998</v>
      </c>
      <c r="V13" s="19">
        <f t="shared" si="12"/>
        <v>90.753449000000003</v>
      </c>
      <c r="W13" s="17"/>
      <c r="X13" s="5">
        <v>6.84</v>
      </c>
      <c r="Y13" s="18">
        <f t="shared" si="0"/>
        <v>0.95</v>
      </c>
      <c r="Z13" s="3">
        <v>2.5750000000000002</v>
      </c>
      <c r="AA13" s="3">
        <f t="shared" si="1"/>
        <v>120.47292</v>
      </c>
      <c r="AB13" s="3">
        <f t="shared" si="2"/>
        <v>1573.2</v>
      </c>
      <c r="AC13" s="20">
        <f t="shared" si="3"/>
        <v>0.81492562493119602</v>
      </c>
    </row>
    <row r="14" spans="1:29" x14ac:dyDescent="0.25">
      <c r="A14" s="2">
        <v>12</v>
      </c>
      <c r="B14" s="6">
        <v>80.900000000000006</v>
      </c>
      <c r="C14" s="6">
        <v>0.1</v>
      </c>
      <c r="D14" s="7">
        <f t="shared" si="4"/>
        <v>8.0900000000000016</v>
      </c>
      <c r="E14" s="6">
        <v>16.82</v>
      </c>
      <c r="F14" s="6">
        <v>1</v>
      </c>
      <c r="G14" s="7">
        <f t="shared" si="5"/>
        <v>16.82</v>
      </c>
      <c r="H14" s="3">
        <v>260</v>
      </c>
      <c r="I14" s="3">
        <v>1</v>
      </c>
      <c r="J14" s="4">
        <f t="shared" si="6"/>
        <v>260</v>
      </c>
      <c r="K14" s="3">
        <v>3.9</v>
      </c>
      <c r="L14" s="3">
        <v>0.1</v>
      </c>
      <c r="M14" s="4">
        <f t="shared" si="7"/>
        <v>0.39</v>
      </c>
      <c r="N14" s="3">
        <v>1287</v>
      </c>
      <c r="O14" s="3">
        <v>1</v>
      </c>
      <c r="P14" s="4">
        <f t="shared" si="8"/>
        <v>1287</v>
      </c>
      <c r="R14" s="27">
        <f t="shared" si="9"/>
        <v>2.079110012360939</v>
      </c>
      <c r="S14" s="18">
        <f t="shared" si="10"/>
        <v>2.527545505223102</v>
      </c>
      <c r="T14" s="18">
        <f t="shared" si="11"/>
        <v>101.4</v>
      </c>
      <c r="U14" s="4">
        <v>0.46782299999999999</v>
      </c>
      <c r="V14" s="19">
        <f t="shared" si="12"/>
        <v>100.93217700000001</v>
      </c>
      <c r="W14" s="17"/>
      <c r="X14" s="5">
        <v>7.2</v>
      </c>
      <c r="Y14" s="18">
        <f t="shared" si="0"/>
        <v>1</v>
      </c>
      <c r="Z14" s="3">
        <v>2.556</v>
      </c>
      <c r="AA14" s="3">
        <f t="shared" si="1"/>
        <v>132.50304</v>
      </c>
      <c r="AB14" s="3">
        <f t="shared" si="2"/>
        <v>1656</v>
      </c>
      <c r="AC14" s="20">
        <f t="shared" si="3"/>
        <v>0.8176513789690506</v>
      </c>
    </row>
    <row r="15" spans="1:29" x14ac:dyDescent="0.25">
      <c r="A15" s="14">
        <v>13</v>
      </c>
      <c r="B15" s="23"/>
      <c r="C15" s="9"/>
      <c r="D15" s="9"/>
      <c r="E15" s="9"/>
      <c r="F15" s="9"/>
      <c r="G15" s="22"/>
      <c r="H15" s="5">
        <v>280</v>
      </c>
      <c r="I15" s="3">
        <v>1</v>
      </c>
      <c r="J15" s="4">
        <f t="shared" si="6"/>
        <v>280</v>
      </c>
      <c r="K15" s="3">
        <v>4</v>
      </c>
      <c r="L15" s="3">
        <v>0.1</v>
      </c>
      <c r="M15" s="4">
        <f t="shared" si="7"/>
        <v>0.4</v>
      </c>
      <c r="N15" s="3">
        <v>1386</v>
      </c>
      <c r="O15" s="3">
        <v>1</v>
      </c>
      <c r="P15" s="4">
        <f t="shared" si="8"/>
        <v>1386</v>
      </c>
      <c r="R15" s="28"/>
      <c r="S15" s="22"/>
      <c r="T15" s="18">
        <f t="shared" si="11"/>
        <v>112</v>
      </c>
      <c r="U15" s="4">
        <v>0.48957899999999999</v>
      </c>
      <c r="V15" s="19">
        <f t="shared" si="12"/>
        <v>111.51042099999999</v>
      </c>
      <c r="W15" s="17"/>
      <c r="X15" s="5">
        <v>7.5600000000000005</v>
      </c>
      <c r="Y15" s="18">
        <f t="shared" si="0"/>
        <v>1.05</v>
      </c>
      <c r="Z15" s="3">
        <v>2.5379999999999998</v>
      </c>
      <c r="AA15" s="3">
        <f t="shared" si="1"/>
        <v>145.05583680000001</v>
      </c>
      <c r="AB15" s="3">
        <f t="shared" si="2"/>
        <v>1738.8</v>
      </c>
      <c r="AC15" s="20">
        <f t="shared" si="3"/>
        <v>0.81993116021700985</v>
      </c>
    </row>
    <row r="16" spans="1:29" x14ac:dyDescent="0.25">
      <c r="A16" s="14">
        <v>14</v>
      </c>
      <c r="B16" s="24"/>
      <c r="C16" s="8"/>
      <c r="D16" s="8"/>
      <c r="E16" s="8"/>
      <c r="F16" s="8"/>
      <c r="G16" s="25"/>
      <c r="H16" s="5">
        <v>300</v>
      </c>
      <c r="I16" s="3">
        <v>1</v>
      </c>
      <c r="J16" s="4">
        <f t="shared" si="6"/>
        <v>300</v>
      </c>
      <c r="K16" s="3">
        <v>4.0999999999999996</v>
      </c>
      <c r="L16" s="3">
        <v>0.1</v>
      </c>
      <c r="M16" s="4">
        <f t="shared" si="7"/>
        <v>0.41</v>
      </c>
      <c r="N16" s="3">
        <v>1491</v>
      </c>
      <c r="O16" s="3">
        <v>1</v>
      </c>
      <c r="P16" s="4">
        <f t="shared" si="8"/>
        <v>1491</v>
      </c>
      <c r="R16" s="8"/>
      <c r="S16" s="25"/>
      <c r="T16" s="26">
        <f t="shared" si="11"/>
        <v>122.99999999999999</v>
      </c>
      <c r="U16" s="4">
        <v>0.51181600000000005</v>
      </c>
      <c r="V16" s="19">
        <f t="shared" si="12"/>
        <v>122.48818399999999</v>
      </c>
      <c r="W16" s="17"/>
      <c r="X16" s="5">
        <v>7.9200000000000008</v>
      </c>
      <c r="Y16" s="18">
        <f t="shared" si="0"/>
        <v>1.1000000000000001</v>
      </c>
      <c r="Z16" s="3">
        <v>2.5209999999999999</v>
      </c>
      <c r="AA16" s="3">
        <f t="shared" si="1"/>
        <v>158.13325440000003</v>
      </c>
      <c r="AB16" s="3">
        <f t="shared" si="2"/>
        <v>1821.6000000000001</v>
      </c>
      <c r="AC16" s="20">
        <f t="shared" si="3"/>
        <v>0.82182019068835732</v>
      </c>
    </row>
    <row r="17" spans="1:29" x14ac:dyDescent="0.25">
      <c r="A17" s="2">
        <v>15</v>
      </c>
      <c r="B17" s="8"/>
      <c r="C17" s="8"/>
      <c r="D17" s="8"/>
      <c r="E17" s="8"/>
      <c r="F17" s="8"/>
      <c r="G17" s="8"/>
      <c r="H17" s="3">
        <v>321</v>
      </c>
      <c r="I17" s="6">
        <v>1</v>
      </c>
      <c r="J17" s="7">
        <f t="shared" si="6"/>
        <v>321</v>
      </c>
      <c r="K17" s="6">
        <v>4.2</v>
      </c>
      <c r="L17" s="6">
        <v>0.1</v>
      </c>
      <c r="M17" s="7">
        <f t="shared" si="7"/>
        <v>0.42000000000000004</v>
      </c>
      <c r="N17" s="6">
        <v>1591</v>
      </c>
      <c r="O17" s="6">
        <v>1</v>
      </c>
      <c r="P17" s="4">
        <f t="shared" si="8"/>
        <v>1591</v>
      </c>
      <c r="R17" s="8"/>
      <c r="S17" s="25"/>
      <c r="T17" s="26">
        <f t="shared" si="11"/>
        <v>134.82000000000002</v>
      </c>
      <c r="U17" s="7">
        <v>0.53453399999999995</v>
      </c>
      <c r="V17" s="18">
        <f t="shared" si="12"/>
        <v>134.28546600000001</v>
      </c>
      <c r="W17" s="8"/>
      <c r="X17" s="3">
        <v>8.2799999999999994</v>
      </c>
      <c r="Y17" s="18">
        <f t="shared" si="0"/>
        <v>1.1499999999999999</v>
      </c>
      <c r="Z17" s="3">
        <v>2.504</v>
      </c>
      <c r="AA17" s="3">
        <f t="shared" si="1"/>
        <v>171.67023359999999</v>
      </c>
      <c r="AB17" s="3">
        <f t="shared" si="2"/>
        <v>1904.4</v>
      </c>
      <c r="AC17" s="20">
        <f t="shared" si="3"/>
        <v>0.82338893831774418</v>
      </c>
    </row>
    <row r="18" spans="1:29" x14ac:dyDescent="0.25">
      <c r="A18" s="9"/>
      <c r="B18" s="8"/>
      <c r="C18" s="8"/>
      <c r="D18" s="8"/>
      <c r="E18" s="8"/>
      <c r="F18" s="8"/>
      <c r="G18" s="8"/>
      <c r="H18" s="9"/>
      <c r="I18" s="9"/>
      <c r="J18" s="9"/>
      <c r="K18" s="9"/>
      <c r="L18" s="9"/>
      <c r="M18" s="9"/>
      <c r="N18" s="9"/>
      <c r="O18" s="9"/>
      <c r="P18" s="9"/>
      <c r="R18" s="8"/>
      <c r="S18" s="8"/>
      <c r="T18" s="9"/>
      <c r="U18" s="9"/>
      <c r="V18" s="9"/>
      <c r="W18" s="8"/>
      <c r="X18" s="3">
        <v>8.64</v>
      </c>
      <c r="Y18" s="18">
        <f t="shared" si="0"/>
        <v>1.2</v>
      </c>
      <c r="Z18" s="3">
        <v>2.4870000000000001</v>
      </c>
      <c r="AA18" s="3">
        <f t="shared" si="1"/>
        <v>185.65355520000003</v>
      </c>
      <c r="AB18" s="3">
        <f t="shared" si="2"/>
        <v>1987.2</v>
      </c>
      <c r="AC18" s="20">
        <f t="shared" si="3"/>
        <v>0.82467944361430323</v>
      </c>
    </row>
    <row r="19" spans="1:29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R19" s="8"/>
      <c r="S19" s="8"/>
      <c r="T19" s="8"/>
      <c r="U19" s="8"/>
      <c r="V19" s="8"/>
      <c r="W19" s="8"/>
      <c r="X19" s="3">
        <v>9</v>
      </c>
      <c r="Y19" s="18">
        <f t="shared" si="0"/>
        <v>1.25</v>
      </c>
      <c r="Z19" s="3">
        <v>2.472</v>
      </c>
      <c r="AA19" s="3">
        <f>Z19*X19^2</f>
        <v>200.232</v>
      </c>
      <c r="AB19" s="3">
        <f t="shared" si="2"/>
        <v>2070</v>
      </c>
      <c r="AC19" s="20">
        <f t="shared" si="3"/>
        <v>0.82567424079851881</v>
      </c>
    </row>
    <row r="21" spans="1:29" x14ac:dyDescent="0.25">
      <c r="A21" s="10" t="s">
        <v>17</v>
      </c>
      <c r="B21" s="11">
        <v>403</v>
      </c>
      <c r="C21" s="12" t="s">
        <v>18</v>
      </c>
    </row>
    <row r="22" spans="1:29" x14ac:dyDescent="0.25">
      <c r="A22" s="10" t="s">
        <v>19</v>
      </c>
      <c r="B22" s="11">
        <v>0.5</v>
      </c>
      <c r="C22" s="13" t="s">
        <v>20</v>
      </c>
    </row>
  </sheetData>
  <mergeCells count="6"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Резултати мјерења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user</cp:lastModifiedBy>
  <dcterms:created xsi:type="dcterms:W3CDTF">2021-05-23T16:41:23Z</dcterms:created>
  <dcterms:modified xsi:type="dcterms:W3CDTF">2021-05-26T14:51:50Z</dcterms:modified>
</cp:coreProperties>
</file>