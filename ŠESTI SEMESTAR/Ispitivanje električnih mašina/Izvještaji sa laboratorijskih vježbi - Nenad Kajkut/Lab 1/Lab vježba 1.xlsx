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2995" windowHeight="10050" firstSheet="3" activeTab="4"/>
  </bookViews>
  <sheets>
    <sheet name="Резултати мјерења" sheetId="1" r:id="rId1"/>
    <sheet name="Δu%=f(cosϕ) у хладном стању" sheetId="2" r:id="rId2"/>
    <sheet name="Δu%=f(cosϕ) у топлом стању" sheetId="5" r:id="rId3"/>
    <sheet name="U2=f(cosϕ)" sheetId="3" r:id="rId4"/>
    <sheet name="Пораст температуре" sheetId="4" r:id="rId5"/>
  </sheets>
  <calcPr calcId="144525"/>
</workbook>
</file>

<file path=xl/calcChain.xml><?xml version="1.0" encoding="utf-8"?>
<calcChain xmlns="http://schemas.openxmlformats.org/spreadsheetml/2006/main">
  <c r="J5" i="4" l="1"/>
  <c r="J6" i="4"/>
  <c r="J7" i="4"/>
  <c r="J8" i="4"/>
  <c r="J9" i="4"/>
  <c r="J10" i="4"/>
  <c r="J11" i="4"/>
  <c r="J12" i="4"/>
  <c r="J4" i="4"/>
  <c r="J3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4" i="4"/>
  <c r="I5" i="4"/>
  <c r="I6" i="4"/>
  <c r="I7" i="4"/>
  <c r="I8" i="4"/>
  <c r="I9" i="4"/>
  <c r="I10" i="4"/>
  <c r="I11" i="4"/>
  <c r="I12" i="4"/>
  <c r="I3" i="4" l="1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I3" i="3"/>
  <c r="I2" i="3"/>
  <c r="H2" i="3"/>
  <c r="G2" i="3"/>
  <c r="F2" i="3"/>
  <c r="B13" i="3"/>
  <c r="B12" i="3"/>
  <c r="B11" i="3"/>
  <c r="B7" i="3"/>
  <c r="B3" i="3"/>
  <c r="B2" i="3"/>
  <c r="B1" i="3"/>
  <c r="B16" i="3"/>
  <c r="B18" i="3" s="1"/>
  <c r="B6" i="3"/>
  <c r="H3" i="2"/>
  <c r="I3" i="2" s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I102" i="2" s="1"/>
  <c r="H103" i="2"/>
  <c r="I103" i="2" s="1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" i="2"/>
  <c r="G3" i="2"/>
  <c r="G4" i="2"/>
  <c r="I4" i="2" s="1"/>
  <c r="G5" i="2"/>
  <c r="I5" i="2" s="1"/>
  <c r="G6" i="2"/>
  <c r="I6" i="2" s="1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16" i="2"/>
  <c r="I16" i="2" s="1"/>
  <c r="G17" i="2"/>
  <c r="I17" i="2" s="1"/>
  <c r="G18" i="2"/>
  <c r="I18" i="2" s="1"/>
  <c r="G19" i="2"/>
  <c r="I19" i="2" s="1"/>
  <c r="G20" i="2"/>
  <c r="I20" i="2" s="1"/>
  <c r="G21" i="2"/>
  <c r="I21" i="2" s="1"/>
  <c r="G22" i="2"/>
  <c r="I22" i="2" s="1"/>
  <c r="G23" i="2"/>
  <c r="I23" i="2" s="1"/>
  <c r="G24" i="2"/>
  <c r="I24" i="2" s="1"/>
  <c r="G25" i="2"/>
  <c r="I25" i="2" s="1"/>
  <c r="G26" i="2"/>
  <c r="I26" i="2" s="1"/>
  <c r="G27" i="2"/>
  <c r="I27" i="2" s="1"/>
  <c r="G28" i="2"/>
  <c r="I28" i="2" s="1"/>
  <c r="G29" i="2"/>
  <c r="I29" i="2" s="1"/>
  <c r="G30" i="2"/>
  <c r="I30" i="2" s="1"/>
  <c r="G31" i="2"/>
  <c r="I31" i="2" s="1"/>
  <c r="G32" i="2"/>
  <c r="I32" i="2" s="1"/>
  <c r="G33" i="2"/>
  <c r="I33" i="2" s="1"/>
  <c r="G34" i="2"/>
  <c r="I34" i="2" s="1"/>
  <c r="G35" i="2"/>
  <c r="I35" i="2" s="1"/>
  <c r="G36" i="2"/>
  <c r="I36" i="2" s="1"/>
  <c r="G37" i="2"/>
  <c r="I37" i="2" s="1"/>
  <c r="G38" i="2"/>
  <c r="I38" i="2" s="1"/>
  <c r="G39" i="2"/>
  <c r="I39" i="2" s="1"/>
  <c r="G40" i="2"/>
  <c r="I40" i="2" s="1"/>
  <c r="G41" i="2"/>
  <c r="I41" i="2" s="1"/>
  <c r="G42" i="2"/>
  <c r="I42" i="2" s="1"/>
  <c r="G43" i="2"/>
  <c r="I43" i="2" s="1"/>
  <c r="G44" i="2"/>
  <c r="I44" i="2" s="1"/>
  <c r="G45" i="2"/>
  <c r="I45" i="2" s="1"/>
  <c r="G46" i="2"/>
  <c r="I46" i="2" s="1"/>
  <c r="G47" i="2"/>
  <c r="I47" i="2" s="1"/>
  <c r="G48" i="2"/>
  <c r="I48" i="2" s="1"/>
  <c r="G49" i="2"/>
  <c r="I49" i="2" s="1"/>
  <c r="G50" i="2"/>
  <c r="I50" i="2" s="1"/>
  <c r="G51" i="2"/>
  <c r="I51" i="2" s="1"/>
  <c r="G52" i="2"/>
  <c r="I52" i="2" s="1"/>
  <c r="G53" i="2"/>
  <c r="I53" i="2" s="1"/>
  <c r="G54" i="2"/>
  <c r="I54" i="2" s="1"/>
  <c r="G55" i="2"/>
  <c r="I55" i="2" s="1"/>
  <c r="G56" i="2"/>
  <c r="I56" i="2" s="1"/>
  <c r="G57" i="2"/>
  <c r="I57" i="2" s="1"/>
  <c r="G58" i="2"/>
  <c r="I58" i="2" s="1"/>
  <c r="G59" i="2"/>
  <c r="I59" i="2" s="1"/>
  <c r="G60" i="2"/>
  <c r="I60" i="2" s="1"/>
  <c r="G61" i="2"/>
  <c r="I61" i="2" s="1"/>
  <c r="G62" i="2"/>
  <c r="I62" i="2" s="1"/>
  <c r="G63" i="2"/>
  <c r="I63" i="2" s="1"/>
  <c r="G64" i="2"/>
  <c r="I64" i="2" s="1"/>
  <c r="G65" i="2"/>
  <c r="I65" i="2" s="1"/>
  <c r="G66" i="2"/>
  <c r="I66" i="2" s="1"/>
  <c r="G67" i="2"/>
  <c r="I67" i="2" s="1"/>
  <c r="G68" i="2"/>
  <c r="I68" i="2" s="1"/>
  <c r="G69" i="2"/>
  <c r="I69" i="2" s="1"/>
  <c r="G70" i="2"/>
  <c r="I70" i="2" s="1"/>
  <c r="G71" i="2"/>
  <c r="I71" i="2" s="1"/>
  <c r="G72" i="2"/>
  <c r="I72" i="2" s="1"/>
  <c r="G73" i="2"/>
  <c r="I73" i="2" s="1"/>
  <c r="G74" i="2"/>
  <c r="I74" i="2" s="1"/>
  <c r="G75" i="2"/>
  <c r="I75" i="2" s="1"/>
  <c r="G76" i="2"/>
  <c r="I76" i="2" s="1"/>
  <c r="G77" i="2"/>
  <c r="I77" i="2" s="1"/>
  <c r="G78" i="2"/>
  <c r="I78" i="2" s="1"/>
  <c r="G79" i="2"/>
  <c r="I79" i="2" s="1"/>
  <c r="G80" i="2"/>
  <c r="I80" i="2" s="1"/>
  <c r="G81" i="2"/>
  <c r="I81" i="2" s="1"/>
  <c r="G82" i="2"/>
  <c r="I82" i="2" s="1"/>
  <c r="G83" i="2"/>
  <c r="I83" i="2" s="1"/>
  <c r="G84" i="2"/>
  <c r="I84" i="2" s="1"/>
  <c r="G85" i="2"/>
  <c r="I85" i="2" s="1"/>
  <c r="G86" i="2"/>
  <c r="I86" i="2" s="1"/>
  <c r="G87" i="2"/>
  <c r="I87" i="2" s="1"/>
  <c r="G88" i="2"/>
  <c r="I88" i="2" s="1"/>
  <c r="G89" i="2"/>
  <c r="I89" i="2" s="1"/>
  <c r="G90" i="2"/>
  <c r="I90" i="2" s="1"/>
  <c r="G91" i="2"/>
  <c r="I91" i="2" s="1"/>
  <c r="G92" i="2"/>
  <c r="I92" i="2" s="1"/>
  <c r="G93" i="2"/>
  <c r="I93" i="2" s="1"/>
  <c r="G94" i="2"/>
  <c r="I94" i="2" s="1"/>
  <c r="G95" i="2"/>
  <c r="I95" i="2" s="1"/>
  <c r="G96" i="2"/>
  <c r="I96" i="2" s="1"/>
  <c r="G97" i="2"/>
  <c r="I97" i="2" s="1"/>
  <c r="G98" i="2"/>
  <c r="I98" i="2" s="1"/>
  <c r="G99" i="2"/>
  <c r="I99" i="2" s="1"/>
  <c r="G100" i="2"/>
  <c r="I100" i="2" s="1"/>
  <c r="G101" i="2"/>
  <c r="I101" i="2" s="1"/>
  <c r="G102" i="2"/>
  <c r="G103" i="2"/>
  <c r="G104" i="2"/>
  <c r="I104" i="2" s="1"/>
  <c r="G105" i="2"/>
  <c r="I105" i="2" s="1"/>
  <c r="G106" i="2"/>
  <c r="I106" i="2" s="1"/>
  <c r="G107" i="2"/>
  <c r="I107" i="2" s="1"/>
  <c r="G108" i="2"/>
  <c r="I108" i="2" s="1"/>
  <c r="G109" i="2"/>
  <c r="I109" i="2" s="1"/>
  <c r="G110" i="2"/>
  <c r="I110" i="2" s="1"/>
  <c r="G111" i="2"/>
  <c r="I111" i="2" s="1"/>
  <c r="G112" i="2"/>
  <c r="I112" i="2" s="1"/>
  <c r="G113" i="2"/>
  <c r="I113" i="2" s="1"/>
  <c r="G114" i="2"/>
  <c r="I114" i="2" s="1"/>
  <c r="G115" i="2"/>
  <c r="I115" i="2" s="1"/>
  <c r="G116" i="2"/>
  <c r="I116" i="2" s="1"/>
  <c r="G117" i="2"/>
  <c r="I117" i="2" s="1"/>
  <c r="G118" i="2"/>
  <c r="I118" i="2" s="1"/>
  <c r="G119" i="2"/>
  <c r="I119" i="2" s="1"/>
  <c r="G120" i="2"/>
  <c r="I120" i="2" s="1"/>
  <c r="G121" i="2"/>
  <c r="I121" i="2" s="1"/>
  <c r="G122" i="2"/>
  <c r="I122" i="2" s="1"/>
  <c r="G123" i="2"/>
  <c r="I123" i="2" s="1"/>
  <c r="G124" i="2"/>
  <c r="I124" i="2" s="1"/>
  <c r="G125" i="2"/>
  <c r="I125" i="2" s="1"/>
  <c r="G126" i="2"/>
  <c r="I126" i="2" s="1"/>
  <c r="G127" i="2"/>
  <c r="I127" i="2" s="1"/>
  <c r="G128" i="2"/>
  <c r="I128" i="2" s="1"/>
  <c r="G129" i="2"/>
  <c r="I129" i="2" s="1"/>
  <c r="G130" i="2"/>
  <c r="I130" i="2" s="1"/>
  <c r="G131" i="2"/>
  <c r="I131" i="2" s="1"/>
  <c r="G132" i="2"/>
  <c r="I132" i="2" s="1"/>
  <c r="G133" i="2"/>
  <c r="I133" i="2" s="1"/>
  <c r="G134" i="2"/>
  <c r="I134" i="2" s="1"/>
  <c r="G135" i="2"/>
  <c r="I135" i="2" s="1"/>
  <c r="G136" i="2"/>
  <c r="I136" i="2" s="1"/>
  <c r="G137" i="2"/>
  <c r="I137" i="2" s="1"/>
  <c r="G138" i="2"/>
  <c r="I138" i="2" s="1"/>
  <c r="G139" i="2"/>
  <c r="I139" i="2" s="1"/>
  <c r="G140" i="2"/>
  <c r="I140" i="2" s="1"/>
  <c r="G141" i="2"/>
  <c r="I141" i="2" s="1"/>
  <c r="G142" i="2"/>
  <c r="I142" i="2" s="1"/>
  <c r="G143" i="2"/>
  <c r="I143" i="2" s="1"/>
  <c r="G144" i="2"/>
  <c r="I144" i="2" s="1"/>
  <c r="G145" i="2"/>
  <c r="I145" i="2" s="1"/>
  <c r="G146" i="2"/>
  <c r="I146" i="2" s="1"/>
  <c r="G147" i="2"/>
  <c r="I147" i="2" s="1"/>
  <c r="G148" i="2"/>
  <c r="I148" i="2" s="1"/>
  <c r="G149" i="2"/>
  <c r="I149" i="2" s="1"/>
  <c r="G150" i="2"/>
  <c r="I150" i="2" s="1"/>
  <c r="G151" i="2"/>
  <c r="I151" i="2" s="1"/>
  <c r="G152" i="2"/>
  <c r="I152" i="2" s="1"/>
  <c r="G153" i="2"/>
  <c r="I153" i="2" s="1"/>
  <c r="G154" i="2"/>
  <c r="I154" i="2" s="1"/>
  <c r="G155" i="2"/>
  <c r="I155" i="2" s="1"/>
  <c r="G156" i="2"/>
  <c r="I156" i="2" s="1"/>
  <c r="G157" i="2"/>
  <c r="I157" i="2" s="1"/>
  <c r="G158" i="2"/>
  <c r="I158" i="2" s="1"/>
  <c r="G159" i="2"/>
  <c r="I159" i="2" s="1"/>
  <c r="G160" i="2"/>
  <c r="I160" i="2" s="1"/>
  <c r="G161" i="2"/>
  <c r="I161" i="2" s="1"/>
  <c r="G162" i="2"/>
  <c r="I162" i="2" s="1"/>
  <c r="G163" i="2"/>
  <c r="I163" i="2" s="1"/>
  <c r="G164" i="2"/>
  <c r="I164" i="2" s="1"/>
  <c r="G165" i="2"/>
  <c r="I165" i="2" s="1"/>
  <c r="G166" i="2"/>
  <c r="I166" i="2" s="1"/>
  <c r="G167" i="2"/>
  <c r="I167" i="2" s="1"/>
  <c r="G168" i="2"/>
  <c r="I168" i="2" s="1"/>
  <c r="G169" i="2"/>
  <c r="I169" i="2" s="1"/>
  <c r="G170" i="2"/>
  <c r="I170" i="2" s="1"/>
  <c r="G171" i="2"/>
  <c r="I171" i="2" s="1"/>
  <c r="G172" i="2"/>
  <c r="I172" i="2" s="1"/>
  <c r="G173" i="2"/>
  <c r="I173" i="2" s="1"/>
  <c r="G174" i="2"/>
  <c r="I174" i="2" s="1"/>
  <c r="G175" i="2"/>
  <c r="I175" i="2" s="1"/>
  <c r="G176" i="2"/>
  <c r="I176" i="2" s="1"/>
  <c r="G177" i="2"/>
  <c r="I177" i="2" s="1"/>
  <c r="G178" i="2"/>
  <c r="I178" i="2" s="1"/>
  <c r="G179" i="2"/>
  <c r="I179" i="2" s="1"/>
  <c r="G180" i="2"/>
  <c r="I180" i="2" s="1"/>
  <c r="G181" i="2"/>
  <c r="I181" i="2" s="1"/>
  <c r="G182" i="2"/>
  <c r="I182" i="2" s="1"/>
  <c r="G183" i="2"/>
  <c r="I183" i="2" s="1"/>
  <c r="G184" i="2"/>
  <c r="I184" i="2" s="1"/>
  <c r="G185" i="2"/>
  <c r="I185" i="2" s="1"/>
  <c r="G186" i="2"/>
  <c r="I186" i="2" s="1"/>
  <c r="G187" i="2"/>
  <c r="I187" i="2" s="1"/>
  <c r="G188" i="2"/>
  <c r="I188" i="2" s="1"/>
  <c r="G189" i="2"/>
  <c r="I189" i="2" s="1"/>
  <c r="G190" i="2"/>
  <c r="I190" i="2" s="1"/>
  <c r="G191" i="2"/>
  <c r="I191" i="2" s="1"/>
  <c r="G192" i="2"/>
  <c r="I192" i="2" s="1"/>
  <c r="G193" i="2"/>
  <c r="I193" i="2" s="1"/>
  <c r="G194" i="2"/>
  <c r="I194" i="2" s="1"/>
  <c r="G195" i="2"/>
  <c r="I195" i="2" s="1"/>
  <c r="G196" i="2"/>
  <c r="I196" i="2" s="1"/>
  <c r="G197" i="2"/>
  <c r="I197" i="2" s="1"/>
  <c r="G198" i="2"/>
  <c r="I198" i="2" s="1"/>
  <c r="G199" i="2"/>
  <c r="I199" i="2" s="1"/>
  <c r="G200" i="2"/>
  <c r="I200" i="2" s="1"/>
  <c r="G201" i="2"/>
  <c r="I201" i="2" s="1"/>
  <c r="G202" i="2"/>
  <c r="I202" i="2" s="1"/>
  <c r="G2" i="2"/>
  <c r="B18" i="2"/>
  <c r="B17" i="2"/>
  <c r="B16" i="2"/>
  <c r="B15" i="2"/>
  <c r="B10" i="2"/>
  <c r="B9" i="2"/>
  <c r="B13" i="2"/>
  <c r="B12" i="2"/>
  <c r="B11" i="2"/>
  <c r="B8" i="2"/>
  <c r="B7" i="2"/>
  <c r="B6" i="2"/>
  <c r="B24" i="1"/>
  <c r="B23" i="1"/>
  <c r="B22" i="1"/>
  <c r="B21" i="1"/>
  <c r="B20" i="1"/>
  <c r="H12" i="4"/>
  <c r="E12" i="4"/>
  <c r="H11" i="4"/>
  <c r="E11" i="4"/>
  <c r="H10" i="4"/>
  <c r="E10" i="4"/>
  <c r="H9" i="4"/>
  <c r="E9" i="4"/>
  <c r="H8" i="4"/>
  <c r="E8" i="4"/>
  <c r="H7" i="4"/>
  <c r="E7" i="4"/>
  <c r="H6" i="4"/>
  <c r="E6" i="4"/>
  <c r="H5" i="4"/>
  <c r="E5" i="4"/>
  <c r="H4" i="4"/>
  <c r="E4" i="4"/>
  <c r="H3" i="4"/>
  <c r="E3" i="4"/>
  <c r="AI31" i="2"/>
  <c r="AI30" i="2"/>
  <c r="AI29" i="2"/>
  <c r="AI28" i="2"/>
  <c r="AI27" i="2"/>
  <c r="AI26" i="2"/>
  <c r="AI25" i="2"/>
  <c r="AI24" i="2"/>
  <c r="AI23" i="2"/>
  <c r="AI22" i="2"/>
  <c r="AI21" i="2"/>
  <c r="I2" i="2" l="1"/>
  <c r="B8" i="3"/>
  <c r="B17" i="3"/>
  <c r="J2" i="3"/>
  <c r="K2" i="3" l="1"/>
  <c r="G12" i="1"/>
  <c r="D12" i="1"/>
  <c r="G11" i="1"/>
  <c r="D11" i="1"/>
  <c r="G10" i="1"/>
  <c r="D10" i="1"/>
  <c r="G9" i="1"/>
  <c r="D9" i="1"/>
  <c r="G8" i="1"/>
  <c r="D8" i="1"/>
  <c r="G7" i="1"/>
  <c r="D7" i="1"/>
  <c r="G6" i="1"/>
  <c r="D6" i="1"/>
  <c r="G5" i="1"/>
  <c r="D5" i="1"/>
  <c r="G4" i="1"/>
  <c r="D4" i="1"/>
  <c r="G3" i="1"/>
  <c r="D3" i="1"/>
  <c r="Y3" i="1"/>
  <c r="V3" i="1"/>
  <c r="S3" i="1"/>
  <c r="P4" i="1"/>
  <c r="P5" i="1"/>
  <c r="P6" i="1"/>
  <c r="P7" i="1"/>
  <c r="P8" i="1"/>
  <c r="P9" i="1"/>
  <c r="P10" i="1"/>
  <c r="P11" i="1"/>
  <c r="P12" i="1"/>
  <c r="P3" i="1"/>
  <c r="M4" i="1"/>
  <c r="M5" i="1"/>
  <c r="M6" i="1"/>
  <c r="M7" i="1"/>
  <c r="M8" i="1"/>
  <c r="M9" i="1"/>
  <c r="M10" i="1"/>
  <c r="M11" i="1"/>
  <c r="M12" i="1"/>
  <c r="M3" i="1"/>
  <c r="J4" i="1"/>
  <c r="J5" i="1"/>
  <c r="J6" i="1"/>
  <c r="J7" i="1"/>
  <c r="J8" i="1"/>
  <c r="J9" i="1"/>
  <c r="J10" i="1"/>
  <c r="J11" i="1"/>
  <c r="J12" i="1"/>
  <c r="J3" i="1"/>
  <c r="B18" i="4"/>
</calcChain>
</file>

<file path=xl/sharedStrings.xml><?xml version="1.0" encoding="utf-8"?>
<sst xmlns="http://schemas.openxmlformats.org/spreadsheetml/2006/main" count="125" uniqueCount="71">
  <si>
    <t>RBM</t>
  </si>
  <si>
    <t>Udc [V]</t>
  </si>
  <si>
    <t>Idc [mA]</t>
  </si>
  <si>
    <t>ϑG [°C]</t>
  </si>
  <si>
    <t>ϑJ [°C]</t>
  </si>
  <si>
    <t>Uk [V]</t>
  </si>
  <si>
    <t>Ik [A]</t>
  </si>
  <si>
    <t>Pk [W]</t>
  </si>
  <si>
    <t>α</t>
  </si>
  <si>
    <t>k</t>
  </si>
  <si>
    <t>ϑD [°C]</t>
  </si>
  <si>
    <t>R'dc, T</t>
  </si>
  <si>
    <t>t [min]</t>
  </si>
  <si>
    <r>
      <t>R'dc, T [</t>
    </r>
    <r>
      <rPr>
        <b/>
        <sz val="11"/>
        <color theme="1"/>
        <rFont val="Calibri"/>
        <family val="2"/>
      </rPr>
      <t>Ω</t>
    </r>
    <r>
      <rPr>
        <b/>
        <sz val="11"/>
        <color theme="1"/>
        <rFont val="Times New Roman"/>
        <family val="1"/>
      </rPr>
      <t>]</t>
    </r>
  </si>
  <si>
    <r>
      <t>T [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Times New Roman"/>
        <family val="1"/>
      </rPr>
      <t>C]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</si>
  <si>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charset val="238"/>
      </rPr>
      <t>u%</t>
    </r>
  </si>
  <si>
    <r>
      <t>cos(</t>
    </r>
    <r>
      <rPr>
        <sz val="11"/>
        <color theme="1"/>
        <rFont val="Calibri"/>
        <family val="2"/>
      </rPr>
      <t>ϕ</t>
    </r>
    <r>
      <rPr>
        <sz val="11"/>
        <color theme="1"/>
        <rFont val="Calibri"/>
        <family val="2"/>
        <charset val="238"/>
        <scheme val="minor"/>
      </rPr>
      <t>)</t>
    </r>
  </si>
  <si>
    <r>
      <t>sin(</t>
    </r>
    <r>
      <rPr>
        <sz val="11"/>
        <color theme="1"/>
        <rFont val="Calibri"/>
        <family val="2"/>
      </rPr>
      <t>ϕ</t>
    </r>
    <r>
      <rPr>
        <sz val="11"/>
        <color theme="1"/>
        <rFont val="Calibri"/>
        <family val="2"/>
        <charset val="238"/>
        <scheme val="minor"/>
      </rPr>
      <t>)</t>
    </r>
  </si>
  <si>
    <t>ϑa</t>
  </si>
  <si>
    <t>R'dc</t>
  </si>
  <si>
    <t>R''dc</t>
  </si>
  <si>
    <t>ϑ</t>
  </si>
  <si>
    <t>uxn%</t>
  </si>
  <si>
    <t>urn%</t>
  </si>
  <si>
    <t>ukn%</t>
  </si>
  <si>
    <t>U1n</t>
  </si>
  <si>
    <t>V</t>
  </si>
  <si>
    <t>U2n</t>
  </si>
  <si>
    <t>Sn</t>
  </si>
  <si>
    <t>VA</t>
  </si>
  <si>
    <t>Uk</t>
  </si>
  <si>
    <t>Pk</t>
  </si>
  <si>
    <t>W</t>
  </si>
  <si>
    <t>Ik</t>
  </si>
  <si>
    <t>Zk</t>
  </si>
  <si>
    <t>Rk</t>
  </si>
  <si>
    <t>Xk</t>
  </si>
  <si>
    <t>β=I2/I2n</t>
  </si>
  <si>
    <t>cos(ϕ)kn</t>
  </si>
  <si>
    <t>Ukn</t>
  </si>
  <si>
    <t>Pkn</t>
  </si>
  <si>
    <t>I1n</t>
  </si>
  <si>
    <t>I2n</t>
  </si>
  <si>
    <t>A</t>
  </si>
  <si>
    <t>an%</t>
  </si>
  <si>
    <t>bn%</t>
  </si>
  <si>
    <t>Δu%</t>
  </si>
  <si>
    <r>
      <t>cos</t>
    </r>
    <r>
      <rPr>
        <b/>
        <sz val="11"/>
        <color theme="1"/>
        <rFont val="Calibri"/>
        <family val="2"/>
      </rPr>
      <t>ϕ</t>
    </r>
  </si>
  <si>
    <r>
      <t>sin</t>
    </r>
    <r>
      <rPr>
        <b/>
        <sz val="11"/>
        <color theme="1"/>
        <rFont val="Calibri"/>
        <family val="2"/>
      </rPr>
      <t>ϕ</t>
    </r>
  </si>
  <si>
    <t>cosφ1</t>
  </si>
  <si>
    <t>cap</t>
  </si>
  <si>
    <t>an%1</t>
  </si>
  <si>
    <t>bn%1</t>
  </si>
  <si>
    <t>cosφ2</t>
  </si>
  <si>
    <t>sinφ2</t>
  </si>
  <si>
    <t>an%2</t>
  </si>
  <si>
    <t>bn%2</t>
  </si>
  <si>
    <t>cosφ3</t>
  </si>
  <si>
    <t>ind</t>
  </si>
  <si>
    <t>sinφ3</t>
  </si>
  <si>
    <t>an%3</t>
  </si>
  <si>
    <t>bn%3</t>
  </si>
  <si>
    <t>sinφ1</t>
  </si>
  <si>
    <t>Δu2_1</t>
  </si>
  <si>
    <t>Δu2_2</t>
  </si>
  <si>
    <t>Δu2_3</t>
  </si>
  <si>
    <t>U2_1</t>
  </si>
  <si>
    <t>U2_2</t>
  </si>
  <si>
    <t>U2_3</t>
  </si>
  <si>
    <t>Ω</t>
  </si>
  <si>
    <t>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</si>
</sst>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0.0000"/>
    <numFmt numFmtId="167" formatCode="0.000"/>
    <numFmt numFmtId="168" formatCode="0.000%"/>
  </numFmts>
  <fonts count="11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</font>
    <font>
      <sz val="11"/>
      <color theme="1" tint="4.9989318521683403E-2"/>
      <name val="Calibri"/>
      <family val="2"/>
      <charset val="238"/>
      <scheme val="minor"/>
    </font>
    <font>
      <b/>
      <sz val="12"/>
      <color rgb="FF202122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165" fontId="0" fillId="0" borderId="0" xfId="0" applyNumberFormat="1" applyBorder="1"/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3" borderId="1" xfId="0" applyFill="1" applyBorder="1"/>
    <xf numFmtId="168" fontId="0" fillId="3" borderId="1" xfId="0" applyNumberFormat="1" applyFill="1" applyBorder="1"/>
    <xf numFmtId="0" fontId="0" fillId="5" borderId="1" xfId="0" applyFill="1" applyBorder="1"/>
    <xf numFmtId="168" fontId="0" fillId="5" borderId="1" xfId="0" applyNumberFormat="1" applyFill="1" applyBorder="1"/>
    <xf numFmtId="0" fontId="8" fillId="5" borderId="1" xfId="0" applyFont="1" applyFill="1" applyBorder="1"/>
    <xf numFmtId="0" fontId="0" fillId="0" borderId="0" xfId="0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2" fontId="2" fillId="0" borderId="1" xfId="0" applyNumberFormat="1" applyFont="1" applyFill="1" applyBorder="1"/>
    <xf numFmtId="168" fontId="2" fillId="0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Fill="1" applyBorder="1" applyAlignment="1">
      <alignment horizontal="right" vertical="center"/>
    </xf>
    <xf numFmtId="2" fontId="2" fillId="0" borderId="1" xfId="0" applyNumberFormat="1" applyFont="1" applyFill="1" applyBorder="1" applyAlignment="1">
      <alignment horizontal="right" vertical="center"/>
    </xf>
    <xf numFmtId="167" fontId="2" fillId="0" borderId="1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3" fillId="0" borderId="1" xfId="0" applyFont="1" applyFill="1" applyBorder="1"/>
    <xf numFmtId="0" fontId="4" fillId="0" borderId="0" xfId="0" applyFont="1" applyFill="1" applyBorder="1" applyAlignment="1">
      <alignment horizontal="left" vertical="center"/>
    </xf>
    <xf numFmtId="168" fontId="2" fillId="0" borderId="0" xfId="0" applyNumberFormat="1" applyFont="1" applyFill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167" fontId="2" fillId="0" borderId="0" xfId="0" applyNumberFormat="1" applyFont="1" applyFill="1" applyBorder="1" applyAlignment="1">
      <alignment horizontal="right" vertical="center"/>
    </xf>
    <xf numFmtId="168" fontId="2" fillId="0" borderId="1" xfId="0" applyNumberFormat="1" applyFont="1" applyFill="1" applyBorder="1"/>
    <xf numFmtId="0" fontId="2" fillId="4" borderId="1" xfId="0" applyFont="1" applyFill="1" applyBorder="1"/>
    <xf numFmtId="168" fontId="2" fillId="4" borderId="1" xfId="0" applyNumberFormat="1" applyFont="1" applyFill="1" applyBorder="1"/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cosϕ_cap</c:v>
          </c:tx>
          <c:marker>
            <c:symbol val="none"/>
          </c:marker>
          <c:xVal>
            <c:numRef>
              <c:f>'Δu%=f(cosϕ) у хладном стању'!$E$2:$E$102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'Δu%=f(cosϕ) у хладном стању'!$I$2:$I$102</c:f>
              <c:numCache>
                <c:formatCode>0.000%</c:formatCode>
                <c:ptCount val="101"/>
                <c:pt idx="0">
                  <c:v>-1.9831706462385801E-2</c:v>
                </c:pt>
                <c:pt idx="1">
                  <c:v>-1.8914341499275521E-2</c:v>
                </c:pt>
                <c:pt idx="2">
                  <c:v>-1.799499687437053E-2</c:v>
                </c:pt>
                <c:pt idx="3">
                  <c:v>-1.7073671747342724E-2</c:v>
                </c:pt>
                <c:pt idx="4">
                  <c:v>-1.6150364679767552E-2</c:v>
                </c:pt>
                <c:pt idx="5">
                  <c:v>-1.5225073632905919E-2</c:v>
                </c:pt>
                <c:pt idx="6">
                  <c:v>-1.4297795964576995E-2</c:v>
                </c:pt>
                <c:pt idx="7">
                  <c:v>-1.3368528425110871E-2</c:v>
                </c:pt>
                <c:pt idx="8">
                  <c:v>-1.2437267152366685E-2</c:v>
                </c:pt>
                <c:pt idx="9">
                  <c:v>-1.1504007665798493E-2</c:v>
                </c:pt>
                <c:pt idx="10">
                  <c:v>-1.0568744859547674E-2</c:v>
                </c:pt>
                <c:pt idx="11">
                  <c:v>-9.6314729945368958E-3</c:v>
                </c:pt>
                <c:pt idx="12">
                  <c:v>-8.6921856895370558E-3</c:v>
                </c:pt>
                <c:pt idx="13">
                  <c:v>-7.7508759111744579E-3</c:v>
                </c:pt>
                <c:pt idx="14">
                  <c:v>-6.8075359628413448E-3</c:v>
                </c:pt>
                <c:pt idx="15">
                  <c:v>-5.8621574724684791E-3</c:v>
                </c:pt>
                <c:pt idx="16">
                  <c:v>-4.9147313791136297E-3</c:v>
                </c:pt>
                <c:pt idx="17">
                  <c:v>-3.9652479183148927E-3</c:v>
                </c:pt>
                <c:pt idx="18">
                  <c:v>-3.0136966061522566E-3</c:v>
                </c:pt>
                <c:pt idx="19">
                  <c:v>-2.0600662219549715E-3</c:v>
                </c:pt>
                <c:pt idx="20">
                  <c:v>-1.1043447895862444E-3</c:v>
                </c:pt>
                <c:pt idx="21">
                  <c:v>-1.4651955722962628E-4</c:v>
                </c:pt>
                <c:pt idx="22">
                  <c:v>8.1342302440549159E-4</c:v>
                </c:pt>
                <c:pt idx="23">
                  <c:v>1.775497325550124E-3</c:v>
                </c:pt>
                <c:pt idx="24">
                  <c:v>2.7397185626130724E-3</c:v>
                </c:pt>
                <c:pt idx="25">
                  <c:v>3.7061028252983103E-3</c:v>
                </c:pt>
                <c:pt idx="26">
                  <c:v>4.6746671057216662E-3</c:v>
                </c:pt>
                <c:pt idx="27">
                  <c:v>5.6454293296573635E-3</c:v>
                </c:pt>
                <c:pt idx="28">
                  <c:v>6.6184083900574899E-3</c:v>
                </c:pt>
                <c:pt idx="29">
                  <c:v>7.5936241830012125E-3</c:v>
                </c:pt>
                <c:pt idx="30">
                  <c:v>8.5710976462454944E-3</c:v>
                </c:pt>
                <c:pt idx="31">
                  <c:v>9.5508508005658788E-3</c:v>
                </c:pt>
                <c:pt idx="32">
                  <c:v>1.0532906794094391E-2</c:v>
                </c:pt>
                <c:pt idx="33">
                  <c:v>1.1517289949881783E-2</c:v>
                </c:pt>
                <c:pt idx="34">
                  <c:v>1.2504025816934267E-2</c:v>
                </c:pt>
                <c:pt idx="35">
                  <c:v>1.3493141224999994E-2</c:v>
                </c:pt>
                <c:pt idx="36">
                  <c:v>1.4484664343408539E-2</c:v>
                </c:pt>
                <c:pt idx="37">
                  <c:v>1.5478624744298061E-2</c:v>
                </c:pt>
                <c:pt idx="38">
                  <c:v>1.6475053470599813E-2</c:v>
                </c:pt>
                <c:pt idx="39">
                  <c:v>1.7473983109188879E-2</c:v>
                </c:pt>
                <c:pt idx="40">
                  <c:v>1.847544786965398E-2</c:v>
                </c:pt>
                <c:pt idx="41">
                  <c:v>1.9479483669188842E-2</c:v>
                </c:pt>
                <c:pt idx="42">
                  <c:v>2.0486128224163087E-2</c:v>
                </c:pt>
                <c:pt idx="43">
                  <c:v>2.1495421148993814E-2</c:v>
                </c:pt>
                <c:pt idx="44">
                  <c:v>2.2507404063010123E-2</c:v>
                </c:pt>
                <c:pt idx="45">
                  <c:v>2.3522120706083345E-2</c:v>
                </c:pt>
                <c:pt idx="46">
                  <c:v>2.453961706388787E-2</c:v>
                </c:pt>
                <c:pt idx="47">
                  <c:v>2.5559941503761351E-2</c:v>
                </c:pt>
                <c:pt idx="48">
                  <c:v>2.6583144922252621E-2</c:v>
                </c:pt>
                <c:pt idx="49">
                  <c:v>2.7609280905581842E-2</c:v>
                </c:pt>
                <c:pt idx="50">
                  <c:v>2.8638405904393947E-2</c:v>
                </c:pt>
                <c:pt idx="51">
                  <c:v>2.96705794243661E-2</c:v>
                </c:pt>
                <c:pt idx="52">
                  <c:v>3.070586423443766E-2</c:v>
                </c:pt>
                <c:pt idx="53">
                  <c:v>3.1744326594670753E-2</c:v>
                </c:pt>
                <c:pt idx="54">
                  <c:v>3.2786036506028036E-2</c:v>
                </c:pt>
                <c:pt idx="55">
                  <c:v>3.3831067984677769E-2</c:v>
                </c:pt>
                <c:pt idx="56">
                  <c:v>3.4879499363814091E-2</c:v>
                </c:pt>
                <c:pt idx="57">
                  <c:v>3.5931413626422833E-2</c:v>
                </c:pt>
                <c:pt idx="58">
                  <c:v>3.6986898772942624E-2</c:v>
                </c:pt>
                <c:pt idx="59">
                  <c:v>3.8046048228383839E-2</c:v>
                </c:pt>
                <c:pt idx="60">
                  <c:v>3.9108961294193105E-2</c:v>
                </c:pt>
                <c:pt idx="61">
                  <c:v>4.0175743651012633E-2</c:v>
                </c:pt>
                <c:pt idx="62">
                  <c:v>4.1246507919511288E-2</c:v>
                </c:pt>
                <c:pt idx="63">
                  <c:v>4.2321374287696098E-2</c:v>
                </c:pt>
                <c:pt idx="64">
                  <c:v>4.3400471214594956E-2</c:v>
                </c:pt>
                <c:pt idx="65">
                  <c:v>4.4483936221993585E-2</c:v>
                </c:pt>
                <c:pt idx="66">
                  <c:v>4.5571916788088425E-2</c:v>
                </c:pt>
                <c:pt idx="67">
                  <c:v>4.6664571359578397E-2</c:v>
                </c:pt>
                <c:pt idx="68">
                  <c:v>4.7762070501988045E-2</c:v>
                </c:pt>
                <c:pt idx="69">
                  <c:v>4.8864598212055251E-2</c:v>
                </c:pt>
                <c:pt idx="70">
                  <c:v>4.9972353421040991E-2</c:v>
                </c:pt>
                <c:pt idx="71">
                  <c:v>5.1085551724106906E-2</c:v>
                </c:pt>
                <c:pt idx="72">
                  <c:v>5.2204427378834219E-2</c:v>
                </c:pt>
                <c:pt idx="73">
                  <c:v>5.3329235626022868E-2</c:v>
                </c:pt>
                <c:pt idx="74">
                  <c:v>5.4460255398795641E-2</c:v>
                </c:pt>
                <c:pt idx="75">
                  <c:v>5.5597792502666256E-2</c:v>
                </c:pt>
                <c:pt idx="76">
                  <c:v>5.6742183370901013E-2</c:v>
                </c:pt>
                <c:pt idx="77">
                  <c:v>5.7893799528013455E-2</c:v>
                </c:pt>
                <c:pt idx="78">
                  <c:v>5.9053052932135315E-2</c:v>
                </c:pt>
                <c:pt idx="79">
                  <c:v>6.0220402417978561E-2</c:v>
                </c:pt>
                <c:pt idx="80">
                  <c:v>6.1396361531498522E-2</c:v>
                </c:pt>
                <c:pt idx="81">
                  <c:v>6.2581508143123091E-2</c:v>
                </c:pt>
                <c:pt idx="82">
                  <c:v>6.3776496360493248E-2</c:v>
                </c:pt>
                <c:pt idx="83">
                  <c:v>6.4982071452446832E-2</c:v>
                </c:pt>
                <c:pt idx="84">
                  <c:v>6.619908877230396E-2</c:v>
                </c:pt>
                <c:pt idx="85">
                  <c:v>6.7428538076656663E-2</c:v>
                </c:pt>
                <c:pt idx="86">
                  <c:v>6.8671575252016198E-2</c:v>
                </c:pt>
                <c:pt idx="87">
                  <c:v>6.9929564414880435E-2</c:v>
                </c:pt>
                <c:pt idx="88">
                  <c:v>7.1204134866746635E-2</c:v>
                </c:pt>
                <c:pt idx="89">
                  <c:v>7.2497259873581577E-2</c:v>
                </c:pt>
                <c:pt idx="90">
                  <c:v>7.3811368472857117E-2</c:v>
                </c:pt>
                <c:pt idx="91">
                  <c:v>7.5149509024471609E-2</c:v>
                </c:pt>
                <c:pt idx="92">
                  <c:v>7.6515597232388849E-2</c:v>
                </c:pt>
                <c:pt idx="93">
                  <c:v>7.7914809087645545E-2</c:v>
                </c:pt>
                <c:pt idx="94">
                  <c:v>7.9354238171427602E-2</c:v>
                </c:pt>
                <c:pt idx="95">
                  <c:v>8.0844074236845545E-2</c:v>
                </c:pt>
                <c:pt idx="96">
                  <c:v>8.2399920727112844E-2</c:v>
                </c:pt>
                <c:pt idx="97">
                  <c:v>8.4047982326652226E-2</c:v>
                </c:pt>
                <c:pt idx="98">
                  <c:v>8.5839229585726637E-2</c:v>
                </c:pt>
                <c:pt idx="99">
                  <c:v>8.7904911477821174E-2</c:v>
                </c:pt>
                <c:pt idx="100">
                  <c:v>9.1621292996997672E-2</c:v>
                </c:pt>
              </c:numCache>
            </c:numRef>
          </c:yVal>
          <c:smooth val="1"/>
        </c:ser>
        <c:ser>
          <c:idx val="1"/>
          <c:order val="1"/>
          <c:tx>
            <c:v>cosϕ_ind</c:v>
          </c:tx>
          <c:marker>
            <c:symbol val="none"/>
          </c:marker>
          <c:xVal>
            <c:numRef>
              <c:f>'Δu%=f(cosϕ) у хладном стању'!$E$102:$E$202</c:f>
              <c:numCache>
                <c:formatCode>General</c:formatCode>
                <c:ptCount val="101"/>
                <c:pt idx="0">
                  <c:v>1</c:v>
                </c:pt>
                <c:pt idx="1">
                  <c:v>0.99</c:v>
                </c:pt>
                <c:pt idx="2">
                  <c:v>0.98</c:v>
                </c:pt>
                <c:pt idx="3">
                  <c:v>0.97</c:v>
                </c:pt>
                <c:pt idx="4">
                  <c:v>0.96</c:v>
                </c:pt>
                <c:pt idx="5">
                  <c:v>0.95</c:v>
                </c:pt>
                <c:pt idx="6">
                  <c:v>0.94</c:v>
                </c:pt>
                <c:pt idx="7">
                  <c:v>0.93</c:v>
                </c:pt>
                <c:pt idx="8">
                  <c:v>0.92</c:v>
                </c:pt>
                <c:pt idx="9">
                  <c:v>0.91</c:v>
                </c:pt>
                <c:pt idx="10">
                  <c:v>0.9</c:v>
                </c:pt>
                <c:pt idx="11">
                  <c:v>0.89</c:v>
                </c:pt>
                <c:pt idx="12">
                  <c:v>0.88</c:v>
                </c:pt>
                <c:pt idx="13">
                  <c:v>0.87</c:v>
                </c:pt>
                <c:pt idx="14">
                  <c:v>0.86</c:v>
                </c:pt>
                <c:pt idx="15">
                  <c:v>0.85</c:v>
                </c:pt>
                <c:pt idx="16">
                  <c:v>0.84</c:v>
                </c:pt>
                <c:pt idx="17">
                  <c:v>0.83</c:v>
                </c:pt>
                <c:pt idx="18">
                  <c:v>0.82</c:v>
                </c:pt>
                <c:pt idx="19">
                  <c:v>0.81</c:v>
                </c:pt>
                <c:pt idx="20">
                  <c:v>0.8</c:v>
                </c:pt>
                <c:pt idx="21">
                  <c:v>0.79</c:v>
                </c:pt>
                <c:pt idx="22">
                  <c:v>0.78</c:v>
                </c:pt>
                <c:pt idx="23">
                  <c:v>0.77</c:v>
                </c:pt>
                <c:pt idx="24">
                  <c:v>0.76</c:v>
                </c:pt>
                <c:pt idx="25">
                  <c:v>0.75</c:v>
                </c:pt>
                <c:pt idx="26">
                  <c:v>0.74</c:v>
                </c:pt>
                <c:pt idx="27">
                  <c:v>0.73</c:v>
                </c:pt>
                <c:pt idx="28">
                  <c:v>0.72</c:v>
                </c:pt>
                <c:pt idx="29">
                  <c:v>0.71</c:v>
                </c:pt>
                <c:pt idx="30">
                  <c:v>0.7</c:v>
                </c:pt>
                <c:pt idx="31">
                  <c:v>0.69</c:v>
                </c:pt>
                <c:pt idx="32">
                  <c:v>0.68</c:v>
                </c:pt>
                <c:pt idx="33">
                  <c:v>0.67</c:v>
                </c:pt>
                <c:pt idx="34">
                  <c:v>0.66</c:v>
                </c:pt>
                <c:pt idx="35">
                  <c:v>0.65</c:v>
                </c:pt>
                <c:pt idx="36">
                  <c:v>0.64</c:v>
                </c:pt>
                <c:pt idx="37">
                  <c:v>0.63</c:v>
                </c:pt>
                <c:pt idx="38">
                  <c:v>0.62</c:v>
                </c:pt>
                <c:pt idx="39">
                  <c:v>0.61</c:v>
                </c:pt>
                <c:pt idx="40">
                  <c:v>0.6</c:v>
                </c:pt>
                <c:pt idx="41">
                  <c:v>0.59</c:v>
                </c:pt>
                <c:pt idx="42">
                  <c:v>0.57999999999999996</c:v>
                </c:pt>
                <c:pt idx="43">
                  <c:v>0.56999999999999995</c:v>
                </c:pt>
                <c:pt idx="44">
                  <c:v>0.56000000000000005</c:v>
                </c:pt>
                <c:pt idx="45">
                  <c:v>0.55000000000000004</c:v>
                </c:pt>
                <c:pt idx="46">
                  <c:v>0.54</c:v>
                </c:pt>
                <c:pt idx="47">
                  <c:v>0.53</c:v>
                </c:pt>
                <c:pt idx="48">
                  <c:v>0.52</c:v>
                </c:pt>
                <c:pt idx="49">
                  <c:v>0.51</c:v>
                </c:pt>
                <c:pt idx="50">
                  <c:v>0.5</c:v>
                </c:pt>
                <c:pt idx="51">
                  <c:v>0.49</c:v>
                </c:pt>
                <c:pt idx="52">
                  <c:v>0.48</c:v>
                </c:pt>
                <c:pt idx="53">
                  <c:v>0.47</c:v>
                </c:pt>
                <c:pt idx="54">
                  <c:v>0.46</c:v>
                </c:pt>
                <c:pt idx="55">
                  <c:v>0.45</c:v>
                </c:pt>
                <c:pt idx="56">
                  <c:v>0.44</c:v>
                </c:pt>
                <c:pt idx="57">
                  <c:v>0.42999999999999899</c:v>
                </c:pt>
                <c:pt idx="58">
                  <c:v>0.41999999999999899</c:v>
                </c:pt>
                <c:pt idx="59">
                  <c:v>0.40999999999999898</c:v>
                </c:pt>
                <c:pt idx="60">
                  <c:v>0.39999999999999902</c:v>
                </c:pt>
                <c:pt idx="61">
                  <c:v>0.38999999999999901</c:v>
                </c:pt>
                <c:pt idx="62">
                  <c:v>0.37999999999999901</c:v>
                </c:pt>
                <c:pt idx="63">
                  <c:v>0.369999999999999</c:v>
                </c:pt>
                <c:pt idx="64">
                  <c:v>0.35999999999999899</c:v>
                </c:pt>
                <c:pt idx="65">
                  <c:v>0.34999999999999898</c:v>
                </c:pt>
                <c:pt idx="66">
                  <c:v>0.33999999999999903</c:v>
                </c:pt>
                <c:pt idx="67">
                  <c:v>0.32999999999999902</c:v>
                </c:pt>
                <c:pt idx="68">
                  <c:v>0.31999999999999901</c:v>
                </c:pt>
                <c:pt idx="69">
                  <c:v>0.309999999999999</c:v>
                </c:pt>
                <c:pt idx="70">
                  <c:v>0.29999999999999899</c:v>
                </c:pt>
                <c:pt idx="71">
                  <c:v>0.28999999999999898</c:v>
                </c:pt>
                <c:pt idx="72">
                  <c:v>0.27999999999999903</c:v>
                </c:pt>
                <c:pt idx="73">
                  <c:v>0.26999999999999902</c:v>
                </c:pt>
                <c:pt idx="74">
                  <c:v>0.25999999999999901</c:v>
                </c:pt>
                <c:pt idx="75">
                  <c:v>0.249999999999999</c:v>
                </c:pt>
                <c:pt idx="76">
                  <c:v>0.23999999999999899</c:v>
                </c:pt>
                <c:pt idx="77">
                  <c:v>0.22999999999999901</c:v>
                </c:pt>
                <c:pt idx="78">
                  <c:v>0.219999999999999</c:v>
                </c:pt>
                <c:pt idx="79">
                  <c:v>0.20999999999999899</c:v>
                </c:pt>
                <c:pt idx="80">
                  <c:v>0.19999999999999901</c:v>
                </c:pt>
                <c:pt idx="81">
                  <c:v>0.189999999999999</c:v>
                </c:pt>
                <c:pt idx="82">
                  <c:v>0.17999999999999899</c:v>
                </c:pt>
                <c:pt idx="83">
                  <c:v>0.16999999999999901</c:v>
                </c:pt>
                <c:pt idx="84">
                  <c:v>0.159999999999999</c:v>
                </c:pt>
                <c:pt idx="85">
                  <c:v>0.149999999999999</c:v>
                </c:pt>
                <c:pt idx="86">
                  <c:v>0.13999999999999899</c:v>
                </c:pt>
                <c:pt idx="87">
                  <c:v>0.12999999999999901</c:v>
                </c:pt>
                <c:pt idx="88">
                  <c:v>0.119999999999999</c:v>
                </c:pt>
                <c:pt idx="89">
                  <c:v>0.109999999999999</c:v>
                </c:pt>
                <c:pt idx="90">
                  <c:v>9.9999999999999006E-2</c:v>
                </c:pt>
                <c:pt idx="91">
                  <c:v>8.9999999999998997E-2</c:v>
                </c:pt>
                <c:pt idx="92">
                  <c:v>7.9999999999999002E-2</c:v>
                </c:pt>
                <c:pt idx="93">
                  <c:v>6.9999999999998994E-2</c:v>
                </c:pt>
                <c:pt idx="94">
                  <c:v>5.9999999999999103E-2</c:v>
                </c:pt>
                <c:pt idx="95">
                  <c:v>4.9999999999998997E-2</c:v>
                </c:pt>
                <c:pt idx="96">
                  <c:v>3.9999999999999002E-2</c:v>
                </c:pt>
                <c:pt idx="97">
                  <c:v>2.9999999999999E-2</c:v>
                </c:pt>
                <c:pt idx="98">
                  <c:v>1.9999999999999001E-2</c:v>
                </c:pt>
                <c:pt idx="99">
                  <c:v>9.9999999999990097E-3</c:v>
                </c:pt>
                <c:pt idx="100">
                  <c:v>0</c:v>
                </c:pt>
              </c:numCache>
            </c:numRef>
          </c:xVal>
          <c:yVal>
            <c:numRef>
              <c:f>'Δu%=f(cosϕ) у хладном стању'!$I$102:$I$202</c:f>
              <c:numCache>
                <c:formatCode>0.000%</c:formatCode>
                <c:ptCount val="101"/>
                <c:pt idx="0">
                  <c:v>9.1621292996997672E-2</c:v>
                </c:pt>
                <c:pt idx="1">
                  <c:v>9.3506879980687019E-2</c:v>
                </c:pt>
                <c:pt idx="2">
                  <c:v>9.3741751339021545E-2</c:v>
                </c:pt>
                <c:pt idx="3">
                  <c:v>9.37021720660631E-2</c:v>
                </c:pt>
                <c:pt idx="4">
                  <c:v>9.3519391135296767E-2</c:v>
                </c:pt>
                <c:pt idx="5">
                  <c:v>9.3244379096985491E-2</c:v>
                </c:pt>
                <c:pt idx="6">
                  <c:v>9.2903340635551959E-2</c:v>
                </c:pt>
                <c:pt idx="7">
                  <c:v>9.2511879194209751E-2</c:v>
                </c:pt>
                <c:pt idx="8">
                  <c:v>9.2080184526069309E-2</c:v>
                </c:pt>
                <c:pt idx="9">
                  <c:v>9.1615350212316551E-2</c:v>
                </c:pt>
                <c:pt idx="10">
                  <c:v>9.1122552243988186E-2</c:v>
                </c:pt>
                <c:pt idx="11">
                  <c:v>9.060570632504801E-2</c:v>
                </c:pt>
                <c:pt idx="12">
                  <c:v>9.0067860815394377E-2</c:v>
                </c:pt>
                <c:pt idx="13">
                  <c:v>8.9511444752499128E-2</c:v>
                </c:pt>
                <c:pt idx="14">
                  <c:v>8.8938431402329085E-2</c:v>
                </c:pt>
                <c:pt idx="15">
                  <c:v>8.8350450066381481E-2</c:v>
                </c:pt>
                <c:pt idx="16">
                  <c:v>8.7748864861154185E-2</c:v>
                </c:pt>
                <c:pt idx="17">
                  <c:v>8.7134831673158455E-2</c:v>
                </c:pt>
                <c:pt idx="18">
                  <c:v>8.6509340258986323E-2</c:v>
                </c:pt>
                <c:pt idx="19">
                  <c:v>8.5873245971957946E-2</c:v>
                </c:pt>
                <c:pt idx="20">
                  <c:v>8.5227294080911065E-2</c:v>
                </c:pt>
                <c:pt idx="21">
                  <c:v>8.4572138693486745E-2</c:v>
                </c:pt>
                <c:pt idx="22">
                  <c:v>8.3908357680112858E-2</c:v>
                </c:pt>
                <c:pt idx="23">
                  <c:v>8.3236464586744732E-2</c:v>
                </c:pt>
                <c:pt idx="24">
                  <c:v>8.255691824809433E-2</c:v>
                </c:pt>
                <c:pt idx="25">
                  <c:v>8.1870130622293383E-2</c:v>
                </c:pt>
                <c:pt idx="26">
                  <c:v>8.1176473233855434E-2</c:v>
                </c:pt>
                <c:pt idx="27">
                  <c:v>8.0476282516046799E-2</c:v>
                </c:pt>
                <c:pt idx="28">
                  <c:v>7.9769864274381166E-2</c:v>
                </c:pt>
                <c:pt idx="29">
                  <c:v>7.9057497441981359E-2</c:v>
                </c:pt>
                <c:pt idx="30">
                  <c:v>7.8339437259647288E-2</c:v>
                </c:pt>
                <c:pt idx="31">
                  <c:v>7.7615917984960162E-2</c:v>
                </c:pt>
                <c:pt idx="32">
                  <c:v>7.688715521308169E-2</c:v>
                </c:pt>
                <c:pt idx="33">
                  <c:v>7.6153347875272767E-2</c:v>
                </c:pt>
                <c:pt idx="34">
                  <c:v>7.5414679968271336E-2</c:v>
                </c:pt>
                <c:pt idx="35">
                  <c:v>7.4671322057601894E-2</c:v>
                </c:pt>
                <c:pt idx="36">
                  <c:v>7.3923432589963395E-2</c:v>
                </c:pt>
                <c:pt idx="37">
                  <c:v>7.3171159043552286E-2</c:v>
                </c:pt>
                <c:pt idx="38">
                  <c:v>7.2414638940154263E-2</c:v>
                </c:pt>
                <c:pt idx="39">
                  <c:v>7.1654000738797213E-2</c:v>
                </c:pt>
                <c:pt idx="40">
                  <c:v>7.0889364627488197E-2</c:v>
                </c:pt>
                <c:pt idx="41">
                  <c:v>7.0120843226896046E-2</c:v>
                </c:pt>
                <c:pt idx="42">
                  <c:v>6.9348542217662984E-2</c:v>
                </c:pt>
                <c:pt idx="43">
                  <c:v>6.857256090123566E-2</c:v>
                </c:pt>
                <c:pt idx="44">
                  <c:v>6.7792992702624441E-2</c:v>
                </c:pt>
                <c:pt idx="45">
                  <c:v>6.700992562226793E-2</c:v>
                </c:pt>
                <c:pt idx="46">
                  <c:v>6.622344264315197E-2</c:v>
                </c:pt>
                <c:pt idx="47">
                  <c:v>6.5433622098470701E-2</c:v>
                </c:pt>
                <c:pt idx="48">
                  <c:v>6.46405380043924E-2</c:v>
                </c:pt>
                <c:pt idx="49">
                  <c:v>6.3844260361879693E-2</c:v>
                </c:pt>
                <c:pt idx="50">
                  <c:v>6.3044855430994737E-2</c:v>
                </c:pt>
                <c:pt idx="51">
                  <c:v>6.224238598067687E-2</c:v>
                </c:pt>
                <c:pt idx="52">
                  <c:v>6.1436911516603264E-2</c:v>
                </c:pt>
                <c:pt idx="53">
                  <c:v>6.062848848941884E-2</c:v>
                </c:pt>
                <c:pt idx="54">
                  <c:v>5.9817170485343789E-2</c:v>
                </c:pt>
                <c:pt idx="55">
                  <c:v>5.9003008400926926E-2</c:v>
                </c:pt>
                <c:pt idx="56">
                  <c:v>5.8186050603505887E-2</c:v>
                </c:pt>
                <c:pt idx="57">
                  <c:v>5.7366343078754996E-2</c:v>
                </c:pt>
                <c:pt idx="58">
                  <c:v>5.6543929566545761E-2</c:v>
                </c:pt>
                <c:pt idx="59">
                  <c:v>5.5718851686207174E-2</c:v>
                </c:pt>
                <c:pt idx="60">
                  <c:v>5.489114905215637E-2</c:v>
                </c:pt>
                <c:pt idx="61">
                  <c:v>5.4060859380762931E-2</c:v>
                </c:pt>
                <c:pt idx="62">
                  <c:v>5.3228018589220605E-2</c:v>
                </c:pt>
                <c:pt idx="63">
                  <c:v>5.2392660887118109E-2</c:v>
                </c:pt>
                <c:pt idx="64">
                  <c:v>5.155481886133053E-2</c:v>
                </c:pt>
                <c:pt idx="65">
                  <c:v>5.0714523554789108E-2</c:v>
                </c:pt>
                <c:pt idx="66">
                  <c:v>4.9871804539632025E-2</c:v>
                </c:pt>
                <c:pt idx="67">
                  <c:v>4.9026689985188839E-2</c:v>
                </c:pt>
                <c:pt idx="68">
                  <c:v>4.8179206721207686E-2</c:v>
                </c:pt>
                <c:pt idx="69">
                  <c:v>4.7329380296694819E-2</c:v>
                </c:pt>
                <c:pt idx="70">
                  <c:v>4.6477235034700956E-2</c:v>
                </c:pt>
                <c:pt idx="71">
                  <c:v>4.5622794083358134E-2</c:v>
                </c:pt>
                <c:pt idx="72">
                  <c:v>4.476607946344191E-2</c:v>
                </c:pt>
                <c:pt idx="73">
                  <c:v>4.3907112112709222E-2</c:v>
                </c:pt>
                <c:pt idx="74">
                  <c:v>4.304591192723925E-2</c:v>
                </c:pt>
                <c:pt idx="75">
                  <c:v>4.2182497799984078E-2</c:v>
                </c:pt>
                <c:pt idx="76">
                  <c:v>4.1316887656717934E-2</c:v>
                </c:pt>
                <c:pt idx="77">
                  <c:v>4.0449098489556648E-2</c:v>
                </c:pt>
                <c:pt idx="78">
                  <c:v>3.9579146388204187E-2</c:v>
                </c:pt>
                <c:pt idx="79">
                  <c:v>3.8707046569069349E-2</c:v>
                </c:pt>
                <c:pt idx="80">
                  <c:v>3.7832813402383161E-2</c:v>
                </c:pt>
                <c:pt idx="81">
                  <c:v>3.6956460437436223E-2</c:v>
                </c:pt>
                <c:pt idx="82">
                  <c:v>3.6078000426044983E-2</c:v>
                </c:pt>
                <c:pt idx="83">
                  <c:v>3.5197445344346247E-2</c:v>
                </c:pt>
                <c:pt idx="84">
                  <c:v>3.4314806413010754E-2</c:v>
                </c:pt>
                <c:pt idx="85">
                  <c:v>3.3430094115958514E-2</c:v>
                </c:pt>
                <c:pt idx="86">
                  <c:v>3.2543318217651426E-2</c:v>
                </c:pt>
                <c:pt idx="87">
                  <c:v>3.1654487779031737E-2</c:v>
                </c:pt>
                <c:pt idx="88">
                  <c:v>3.0763611172168682E-2</c:v>
                </c:pt>
                <c:pt idx="89">
                  <c:v>2.9870696093670001E-2</c:v>
                </c:pt>
                <c:pt idx="90">
                  <c:v>2.8975749576909415E-2</c:v>
                </c:pt>
                <c:pt idx="91">
                  <c:v>2.8078778003116006E-2</c:v>
                </c:pt>
                <c:pt idx="92">
                  <c:v>2.717978711136711E-2</c:v>
                </c:pt>
                <c:pt idx="93">
                  <c:v>2.6278782007521356E-2</c:v>
                </c:pt>
                <c:pt idx="94">
                  <c:v>2.537576717212469E-2</c:v>
                </c:pt>
                <c:pt idx="95">
                  <c:v>2.447074646731795E-2</c:v>
                </c:pt>
                <c:pt idx="96">
                  <c:v>2.3563723142771074E-2</c:v>
                </c:pt>
                <c:pt idx="97">
                  <c:v>2.2654699840664885E-2</c:v>
                </c:pt>
                <c:pt idx="98">
                  <c:v>2.1743678599738466E-2</c:v>
                </c:pt>
                <c:pt idx="99">
                  <c:v>2.0830660858416377E-2</c:v>
                </c:pt>
                <c:pt idx="100">
                  <c:v>1.9915647457026814E-2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964352"/>
        <c:axId val="242965888"/>
      </c:scatterChart>
      <c:valAx>
        <c:axId val="242964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2965888"/>
        <c:crosses val="autoZero"/>
        <c:crossBetween val="midCat"/>
      </c:valAx>
      <c:valAx>
        <c:axId val="242965888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2429643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sinϕ_cap</c:v>
          </c:tx>
          <c:marker>
            <c:symbol val="none"/>
          </c:marker>
          <c:xVal>
            <c:numRef>
              <c:f>'Δu%=f(cosϕ) у хладном стању'!$F$2:$F$102</c:f>
              <c:numCache>
                <c:formatCode>General</c:formatCode>
                <c:ptCount val="101"/>
                <c:pt idx="0">
                  <c:v>-1</c:v>
                </c:pt>
                <c:pt idx="1">
                  <c:v>-0.99994999874993751</c:v>
                </c:pt>
                <c:pt idx="2">
                  <c:v>-0.99979997999599901</c:v>
                </c:pt>
                <c:pt idx="3">
                  <c:v>-0.9995498987044118</c:v>
                </c:pt>
                <c:pt idx="4">
                  <c:v>-0.99919967974374369</c:v>
                </c:pt>
                <c:pt idx="5">
                  <c:v>-0.99874921777190895</c:v>
                </c:pt>
                <c:pt idx="6">
                  <c:v>-0.99819837707742243</c:v>
                </c:pt>
                <c:pt idx="7">
                  <c:v>-0.99754699137434122</c:v>
                </c:pt>
                <c:pt idx="8">
                  <c:v>-0.996794863550169</c:v>
                </c:pt>
                <c:pt idx="9">
                  <c:v>-0.99594176536582701</c:v>
                </c:pt>
                <c:pt idx="10">
                  <c:v>-0.99498743710661997</c:v>
                </c:pt>
                <c:pt idx="11">
                  <c:v>-0.99393158718294083</c:v>
                </c:pt>
                <c:pt idx="12">
                  <c:v>-0.99277389167926855</c:v>
                </c:pt>
                <c:pt idx="13">
                  <c:v>-0.99151399384980943</c:v>
                </c:pt>
                <c:pt idx="14">
                  <c:v>-0.99015150355892512</c:v>
                </c:pt>
                <c:pt idx="15">
                  <c:v>-0.98868599666425949</c:v>
                </c:pt>
                <c:pt idx="16">
                  <c:v>-0.98711701434024535</c:v>
                </c:pt>
                <c:pt idx="17">
                  <c:v>-0.98544406233941051</c:v>
                </c:pt>
                <c:pt idx="18">
                  <c:v>-0.98366661018863499</c:v>
                </c:pt>
                <c:pt idx="19">
                  <c:v>-0.98178409031721425</c:v>
                </c:pt>
                <c:pt idx="20">
                  <c:v>-0.9797958971132712</c:v>
                </c:pt>
                <c:pt idx="21">
                  <c:v>-0.97770138590471478</c:v>
                </c:pt>
                <c:pt idx="22">
                  <c:v>-0.97549987186057585</c:v>
                </c:pt>
                <c:pt idx="23">
                  <c:v>-0.97319062880814877</c:v>
                </c:pt>
                <c:pt idx="24">
                  <c:v>-0.97077288796092776</c:v>
                </c:pt>
                <c:pt idx="25">
                  <c:v>-0.96824583655185426</c:v>
                </c:pt>
                <c:pt idx="26">
                  <c:v>-0.96560861636586492</c:v>
                </c:pt>
                <c:pt idx="27">
                  <c:v>-0.96286032216516226</c:v>
                </c:pt>
                <c:pt idx="28">
                  <c:v>-0.96</c:v>
                </c:pt>
                <c:pt idx="29">
                  <c:v>-0.95702664539708615</c:v>
                </c:pt>
                <c:pt idx="30">
                  <c:v>-0.95393920141694566</c:v>
                </c:pt>
                <c:pt idx="31">
                  <c:v>-0.95073655657074641</c:v>
                </c:pt>
                <c:pt idx="32">
                  <c:v>-0.94741754258616084</c:v>
                </c:pt>
                <c:pt idx="33">
                  <c:v>-0.94398093201081135</c:v>
                </c:pt>
                <c:pt idx="34">
                  <c:v>-0.9404254356406998</c:v>
                </c:pt>
                <c:pt idx="35">
                  <c:v>-0.93674969975975975</c:v>
                </c:pt>
                <c:pt idx="36">
                  <c:v>-0.93295230317524813</c:v>
                </c:pt>
                <c:pt idx="37">
                  <c:v>-0.92903175403212135</c:v>
                </c:pt>
                <c:pt idx="38">
                  <c:v>-0.92498648638777425</c:v>
                </c:pt>
                <c:pt idx="39">
                  <c:v>-0.92081485652654405</c:v>
                </c:pt>
                <c:pt idx="40">
                  <c:v>-0.91651513899116799</c:v>
                </c:pt>
                <c:pt idx="41">
                  <c:v>-0.91208552230588558</c:v>
                </c:pt>
                <c:pt idx="42">
                  <c:v>-0.90752410436307418</c:v>
                </c:pt>
                <c:pt idx="43">
                  <c:v>-0.90282888744213319</c:v>
                </c:pt>
                <c:pt idx="44">
                  <c:v>-0.89799777282574589</c:v>
                </c:pt>
                <c:pt idx="45">
                  <c:v>-0.89302855497458755</c:v>
                </c:pt>
                <c:pt idx="46">
                  <c:v>-0.88791891521692456</c:v>
                </c:pt>
                <c:pt idx="47">
                  <c:v>-0.88266641490429443</c:v>
                </c:pt>
                <c:pt idx="48">
                  <c:v>-0.87726848797845236</c:v>
                </c:pt>
                <c:pt idx="49">
                  <c:v>-0.87172243288790041</c:v>
                </c:pt>
                <c:pt idx="50">
                  <c:v>-0.8660254037844386</c:v>
                </c:pt>
                <c:pt idx="51">
                  <c:v>-0.86017440092111552</c:v>
                </c:pt>
                <c:pt idx="52">
                  <c:v>-0.85416626016250496</c:v>
                </c:pt>
                <c:pt idx="53">
                  <c:v>-0.8479976415061542</c:v>
                </c:pt>
                <c:pt idx="54">
                  <c:v>-0.84166501650003245</c:v>
                </c:pt>
                <c:pt idx="55">
                  <c:v>-0.83516465442450327</c:v>
                </c:pt>
                <c:pt idx="56">
                  <c:v>-0.82849260708831907</c:v>
                </c:pt>
                <c:pt idx="57">
                  <c:v>-0.82164469206585888</c:v>
                </c:pt>
                <c:pt idx="58">
                  <c:v>-0.81461647417665206</c:v>
                </c:pt>
                <c:pt idx="59">
                  <c:v>-0.80740324497737814</c:v>
                </c:pt>
                <c:pt idx="60">
                  <c:v>-0.8</c:v>
                </c:pt>
                <c:pt idx="61">
                  <c:v>-0.79240141342630122</c:v>
                </c:pt>
                <c:pt idx="62">
                  <c:v>-0.7846018098373212</c:v>
                </c:pt>
                <c:pt idx="63">
                  <c:v>-0.77659513261415691</c:v>
                </c:pt>
                <c:pt idx="64">
                  <c:v>-0.7683749084919419</c:v>
                </c:pt>
                <c:pt idx="65">
                  <c:v>-0.75993420767853315</c:v>
                </c:pt>
                <c:pt idx="66">
                  <c:v>-0.751265598839718</c:v>
                </c:pt>
                <c:pt idx="67">
                  <c:v>-0.74236109811869855</c:v>
                </c:pt>
                <c:pt idx="68">
                  <c:v>-0.73321211119293428</c:v>
                </c:pt>
                <c:pt idx="69">
                  <c:v>-0.7238093671679029</c:v>
                </c:pt>
                <c:pt idx="70">
                  <c:v>-0.71414284285428498</c:v>
                </c:pt>
                <c:pt idx="71">
                  <c:v>-0.70420167565833014</c:v>
                </c:pt>
                <c:pt idx="72">
                  <c:v>-0.69397406291589891</c:v>
                </c:pt>
                <c:pt idx="73">
                  <c:v>-0.6834471449936711</c:v>
                </c:pt>
                <c:pt idx="74">
                  <c:v>-0.67260686883200949</c:v>
                </c:pt>
                <c:pt idx="75">
                  <c:v>-0.66143782776614768</c:v>
                </c:pt>
                <c:pt idx="76">
                  <c:v>-0.64992307237087688</c:v>
                </c:pt>
                <c:pt idx="77">
                  <c:v>-0.63804388563797088</c:v>
                </c:pt>
                <c:pt idx="78">
                  <c:v>-0.62577951388648057</c:v>
                </c:pt>
                <c:pt idx="79">
                  <c:v>-0.61310684223877321</c:v>
                </c:pt>
                <c:pt idx="80">
                  <c:v>-0.59999999999999987</c:v>
                </c:pt>
                <c:pt idx="81">
                  <c:v>-0.58642987645582989</c:v>
                </c:pt>
                <c:pt idx="82">
                  <c:v>-0.57236352085016751</c:v>
                </c:pt>
                <c:pt idx="83">
                  <c:v>-0.55776339069537362</c:v>
                </c:pt>
                <c:pt idx="84">
                  <c:v>-0.54258639865002156</c:v>
                </c:pt>
                <c:pt idx="85">
                  <c:v>-0.52678268764263703</c:v>
                </c:pt>
                <c:pt idx="86">
                  <c:v>-0.51029403288692299</c:v>
                </c:pt>
                <c:pt idx="87">
                  <c:v>-0.49305172142484199</c:v>
                </c:pt>
                <c:pt idx="88">
                  <c:v>-0.4749736834815167</c:v>
                </c:pt>
                <c:pt idx="89">
                  <c:v>-0.45596052460711989</c:v>
                </c:pt>
                <c:pt idx="90">
                  <c:v>-0.43588989435406728</c:v>
                </c:pt>
                <c:pt idx="91">
                  <c:v>-0.41460824883255754</c:v>
                </c:pt>
                <c:pt idx="92">
                  <c:v>-0.39191835884530846</c:v>
                </c:pt>
                <c:pt idx="93">
                  <c:v>-0.36755951898978195</c:v>
                </c:pt>
                <c:pt idx="94">
                  <c:v>-0.34117444218463971</c:v>
                </c:pt>
                <c:pt idx="95">
                  <c:v>-0.31224989991991997</c:v>
                </c:pt>
                <c:pt idx="96">
                  <c:v>-0.28000000000000003</c:v>
                </c:pt>
                <c:pt idx="97">
                  <c:v>-0.24310491562286443</c:v>
                </c:pt>
                <c:pt idx="98">
                  <c:v>-0.1989974874213242</c:v>
                </c:pt>
                <c:pt idx="99">
                  <c:v>-0.14106735979665894</c:v>
                </c:pt>
                <c:pt idx="100">
                  <c:v>0</c:v>
                </c:pt>
              </c:numCache>
            </c:numRef>
          </c:xVal>
          <c:yVal>
            <c:numRef>
              <c:f>'Δu%=f(cosϕ) у хладном стању'!$I$2:$I$102</c:f>
              <c:numCache>
                <c:formatCode>0.000%</c:formatCode>
                <c:ptCount val="101"/>
                <c:pt idx="0">
                  <c:v>-1.9831706462385801E-2</c:v>
                </c:pt>
                <c:pt idx="1">
                  <c:v>-1.8914341499275521E-2</c:v>
                </c:pt>
                <c:pt idx="2">
                  <c:v>-1.799499687437053E-2</c:v>
                </c:pt>
                <c:pt idx="3">
                  <c:v>-1.7073671747342724E-2</c:v>
                </c:pt>
                <c:pt idx="4">
                  <c:v>-1.6150364679767552E-2</c:v>
                </c:pt>
                <c:pt idx="5">
                  <c:v>-1.5225073632905919E-2</c:v>
                </c:pt>
                <c:pt idx="6">
                  <c:v>-1.4297795964576995E-2</c:v>
                </c:pt>
                <c:pt idx="7">
                  <c:v>-1.3368528425110871E-2</c:v>
                </c:pt>
                <c:pt idx="8">
                  <c:v>-1.2437267152366685E-2</c:v>
                </c:pt>
                <c:pt idx="9">
                  <c:v>-1.1504007665798493E-2</c:v>
                </c:pt>
                <c:pt idx="10">
                  <c:v>-1.0568744859547674E-2</c:v>
                </c:pt>
                <c:pt idx="11">
                  <c:v>-9.6314729945368958E-3</c:v>
                </c:pt>
                <c:pt idx="12">
                  <c:v>-8.6921856895370558E-3</c:v>
                </c:pt>
                <c:pt idx="13">
                  <c:v>-7.7508759111744579E-3</c:v>
                </c:pt>
                <c:pt idx="14">
                  <c:v>-6.8075359628413448E-3</c:v>
                </c:pt>
                <c:pt idx="15">
                  <c:v>-5.8621574724684791E-3</c:v>
                </c:pt>
                <c:pt idx="16">
                  <c:v>-4.9147313791136297E-3</c:v>
                </c:pt>
                <c:pt idx="17">
                  <c:v>-3.9652479183148927E-3</c:v>
                </c:pt>
                <c:pt idx="18">
                  <c:v>-3.0136966061522566E-3</c:v>
                </c:pt>
                <c:pt idx="19">
                  <c:v>-2.0600662219549715E-3</c:v>
                </c:pt>
                <c:pt idx="20">
                  <c:v>-1.1043447895862444E-3</c:v>
                </c:pt>
                <c:pt idx="21">
                  <c:v>-1.4651955722962628E-4</c:v>
                </c:pt>
                <c:pt idx="22">
                  <c:v>8.1342302440549159E-4</c:v>
                </c:pt>
                <c:pt idx="23">
                  <c:v>1.775497325550124E-3</c:v>
                </c:pt>
                <c:pt idx="24">
                  <c:v>2.7397185626130724E-3</c:v>
                </c:pt>
                <c:pt idx="25">
                  <c:v>3.7061028252983103E-3</c:v>
                </c:pt>
                <c:pt idx="26">
                  <c:v>4.6746671057216662E-3</c:v>
                </c:pt>
                <c:pt idx="27">
                  <c:v>5.6454293296573635E-3</c:v>
                </c:pt>
                <c:pt idx="28">
                  <c:v>6.6184083900574899E-3</c:v>
                </c:pt>
                <c:pt idx="29">
                  <c:v>7.5936241830012125E-3</c:v>
                </c:pt>
                <c:pt idx="30">
                  <c:v>8.5710976462454944E-3</c:v>
                </c:pt>
                <c:pt idx="31">
                  <c:v>9.5508508005658788E-3</c:v>
                </c:pt>
                <c:pt idx="32">
                  <c:v>1.0532906794094391E-2</c:v>
                </c:pt>
                <c:pt idx="33">
                  <c:v>1.1517289949881783E-2</c:v>
                </c:pt>
                <c:pt idx="34">
                  <c:v>1.2504025816934267E-2</c:v>
                </c:pt>
                <c:pt idx="35">
                  <c:v>1.3493141224999994E-2</c:v>
                </c:pt>
                <c:pt idx="36">
                  <c:v>1.4484664343408539E-2</c:v>
                </c:pt>
                <c:pt idx="37">
                  <c:v>1.5478624744298061E-2</c:v>
                </c:pt>
                <c:pt idx="38">
                  <c:v>1.6475053470599813E-2</c:v>
                </c:pt>
                <c:pt idx="39">
                  <c:v>1.7473983109188879E-2</c:v>
                </c:pt>
                <c:pt idx="40">
                  <c:v>1.847544786965398E-2</c:v>
                </c:pt>
                <c:pt idx="41">
                  <c:v>1.9479483669188842E-2</c:v>
                </c:pt>
                <c:pt idx="42">
                  <c:v>2.0486128224163087E-2</c:v>
                </c:pt>
                <c:pt idx="43">
                  <c:v>2.1495421148993814E-2</c:v>
                </c:pt>
                <c:pt idx="44">
                  <c:v>2.2507404063010123E-2</c:v>
                </c:pt>
                <c:pt idx="45">
                  <c:v>2.3522120706083345E-2</c:v>
                </c:pt>
                <c:pt idx="46">
                  <c:v>2.453961706388787E-2</c:v>
                </c:pt>
                <c:pt idx="47">
                  <c:v>2.5559941503761351E-2</c:v>
                </c:pt>
                <c:pt idx="48">
                  <c:v>2.6583144922252621E-2</c:v>
                </c:pt>
                <c:pt idx="49">
                  <c:v>2.7609280905581842E-2</c:v>
                </c:pt>
                <c:pt idx="50">
                  <c:v>2.8638405904393947E-2</c:v>
                </c:pt>
                <c:pt idx="51">
                  <c:v>2.96705794243661E-2</c:v>
                </c:pt>
                <c:pt idx="52">
                  <c:v>3.070586423443766E-2</c:v>
                </c:pt>
                <c:pt idx="53">
                  <c:v>3.1744326594670753E-2</c:v>
                </c:pt>
                <c:pt idx="54">
                  <c:v>3.2786036506028036E-2</c:v>
                </c:pt>
                <c:pt idx="55">
                  <c:v>3.3831067984677769E-2</c:v>
                </c:pt>
                <c:pt idx="56">
                  <c:v>3.4879499363814091E-2</c:v>
                </c:pt>
                <c:pt idx="57">
                  <c:v>3.5931413626422833E-2</c:v>
                </c:pt>
                <c:pt idx="58">
                  <c:v>3.6986898772942624E-2</c:v>
                </c:pt>
                <c:pt idx="59">
                  <c:v>3.8046048228383839E-2</c:v>
                </c:pt>
                <c:pt idx="60">
                  <c:v>3.9108961294193105E-2</c:v>
                </c:pt>
                <c:pt idx="61">
                  <c:v>4.0175743651012633E-2</c:v>
                </c:pt>
                <c:pt idx="62">
                  <c:v>4.1246507919511288E-2</c:v>
                </c:pt>
                <c:pt idx="63">
                  <c:v>4.2321374287696098E-2</c:v>
                </c:pt>
                <c:pt idx="64">
                  <c:v>4.3400471214594956E-2</c:v>
                </c:pt>
                <c:pt idx="65">
                  <c:v>4.4483936221993585E-2</c:v>
                </c:pt>
                <c:pt idx="66">
                  <c:v>4.5571916788088425E-2</c:v>
                </c:pt>
                <c:pt idx="67">
                  <c:v>4.6664571359578397E-2</c:v>
                </c:pt>
                <c:pt idx="68">
                  <c:v>4.7762070501988045E-2</c:v>
                </c:pt>
                <c:pt idx="69">
                  <c:v>4.8864598212055251E-2</c:v>
                </c:pt>
                <c:pt idx="70">
                  <c:v>4.9972353421040991E-2</c:v>
                </c:pt>
                <c:pt idx="71">
                  <c:v>5.1085551724106906E-2</c:v>
                </c:pt>
                <c:pt idx="72">
                  <c:v>5.2204427378834219E-2</c:v>
                </c:pt>
                <c:pt idx="73">
                  <c:v>5.3329235626022868E-2</c:v>
                </c:pt>
                <c:pt idx="74">
                  <c:v>5.4460255398795641E-2</c:v>
                </c:pt>
                <c:pt idx="75">
                  <c:v>5.5597792502666256E-2</c:v>
                </c:pt>
                <c:pt idx="76">
                  <c:v>5.6742183370901013E-2</c:v>
                </c:pt>
                <c:pt idx="77">
                  <c:v>5.7893799528013455E-2</c:v>
                </c:pt>
                <c:pt idx="78">
                  <c:v>5.9053052932135315E-2</c:v>
                </c:pt>
                <c:pt idx="79">
                  <c:v>6.0220402417978561E-2</c:v>
                </c:pt>
                <c:pt idx="80">
                  <c:v>6.1396361531498522E-2</c:v>
                </c:pt>
                <c:pt idx="81">
                  <c:v>6.2581508143123091E-2</c:v>
                </c:pt>
                <c:pt idx="82">
                  <c:v>6.3776496360493248E-2</c:v>
                </c:pt>
                <c:pt idx="83">
                  <c:v>6.4982071452446832E-2</c:v>
                </c:pt>
                <c:pt idx="84">
                  <c:v>6.619908877230396E-2</c:v>
                </c:pt>
                <c:pt idx="85">
                  <c:v>6.7428538076656663E-2</c:v>
                </c:pt>
                <c:pt idx="86">
                  <c:v>6.8671575252016198E-2</c:v>
                </c:pt>
                <c:pt idx="87">
                  <c:v>6.9929564414880435E-2</c:v>
                </c:pt>
                <c:pt idx="88">
                  <c:v>7.1204134866746635E-2</c:v>
                </c:pt>
                <c:pt idx="89">
                  <c:v>7.2497259873581577E-2</c:v>
                </c:pt>
                <c:pt idx="90">
                  <c:v>7.3811368472857117E-2</c:v>
                </c:pt>
                <c:pt idx="91">
                  <c:v>7.5149509024471609E-2</c:v>
                </c:pt>
                <c:pt idx="92">
                  <c:v>7.6515597232388849E-2</c:v>
                </c:pt>
                <c:pt idx="93">
                  <c:v>7.7914809087645545E-2</c:v>
                </c:pt>
                <c:pt idx="94">
                  <c:v>7.9354238171427602E-2</c:v>
                </c:pt>
                <c:pt idx="95">
                  <c:v>8.0844074236845545E-2</c:v>
                </c:pt>
                <c:pt idx="96">
                  <c:v>8.2399920727112844E-2</c:v>
                </c:pt>
                <c:pt idx="97">
                  <c:v>8.4047982326652226E-2</c:v>
                </c:pt>
                <c:pt idx="98">
                  <c:v>8.5839229585726637E-2</c:v>
                </c:pt>
                <c:pt idx="99">
                  <c:v>8.7904911477821174E-2</c:v>
                </c:pt>
                <c:pt idx="100">
                  <c:v>9.1621292996997672E-2</c:v>
                </c:pt>
              </c:numCache>
            </c:numRef>
          </c:yVal>
          <c:smooth val="1"/>
        </c:ser>
        <c:ser>
          <c:idx val="1"/>
          <c:order val="1"/>
          <c:tx>
            <c:v>sinϕ_ind</c:v>
          </c:tx>
          <c:marker>
            <c:symbol val="none"/>
          </c:marker>
          <c:xVal>
            <c:numRef>
              <c:f>'Δu%=f(cosϕ) у хладном стању'!$F$102:$F$202</c:f>
              <c:numCache>
                <c:formatCode>General</c:formatCode>
                <c:ptCount val="101"/>
                <c:pt idx="0">
                  <c:v>0</c:v>
                </c:pt>
                <c:pt idx="1">
                  <c:v>0.14106735979665894</c:v>
                </c:pt>
                <c:pt idx="2">
                  <c:v>0.1989974874213242</c:v>
                </c:pt>
                <c:pt idx="3">
                  <c:v>0.24310491562286443</c:v>
                </c:pt>
                <c:pt idx="4">
                  <c:v>0.28000000000000003</c:v>
                </c:pt>
                <c:pt idx="5">
                  <c:v>0.31224989991991997</c:v>
                </c:pt>
                <c:pt idx="6">
                  <c:v>0.34117444218463971</c:v>
                </c:pt>
                <c:pt idx="7">
                  <c:v>0.36755951898978195</c:v>
                </c:pt>
                <c:pt idx="8">
                  <c:v>0.39191835884530846</c:v>
                </c:pt>
                <c:pt idx="9">
                  <c:v>0.41460824883255754</c:v>
                </c:pt>
                <c:pt idx="10">
                  <c:v>0.43588989435406728</c:v>
                </c:pt>
                <c:pt idx="11">
                  <c:v>0.45596052460711989</c:v>
                </c:pt>
                <c:pt idx="12">
                  <c:v>0.4749736834815167</c:v>
                </c:pt>
                <c:pt idx="13">
                  <c:v>0.49305172142484199</c:v>
                </c:pt>
                <c:pt idx="14">
                  <c:v>0.51029403288692299</c:v>
                </c:pt>
                <c:pt idx="15">
                  <c:v>0.52678268764263703</c:v>
                </c:pt>
                <c:pt idx="16">
                  <c:v>0.54258639865002156</c:v>
                </c:pt>
                <c:pt idx="17">
                  <c:v>0.55776339069537362</c:v>
                </c:pt>
                <c:pt idx="18">
                  <c:v>0.57236352085016751</c:v>
                </c:pt>
                <c:pt idx="19">
                  <c:v>0.58642987645582989</c:v>
                </c:pt>
                <c:pt idx="20">
                  <c:v>0.59999999999999987</c:v>
                </c:pt>
                <c:pt idx="21">
                  <c:v>0.61310684223877321</c:v>
                </c:pt>
                <c:pt idx="22">
                  <c:v>0.62577951388648057</c:v>
                </c:pt>
                <c:pt idx="23">
                  <c:v>0.63804388563797088</c:v>
                </c:pt>
                <c:pt idx="24">
                  <c:v>0.64992307237087688</c:v>
                </c:pt>
                <c:pt idx="25">
                  <c:v>0.66143782776614768</c:v>
                </c:pt>
                <c:pt idx="26">
                  <c:v>0.67260686883200949</c:v>
                </c:pt>
                <c:pt idx="27">
                  <c:v>0.6834471449936711</c:v>
                </c:pt>
                <c:pt idx="28">
                  <c:v>0.69397406291589891</c:v>
                </c:pt>
                <c:pt idx="29">
                  <c:v>0.70420167565833014</c:v>
                </c:pt>
                <c:pt idx="30">
                  <c:v>0.71414284285428498</c:v>
                </c:pt>
                <c:pt idx="31">
                  <c:v>0.7238093671679029</c:v>
                </c:pt>
                <c:pt idx="32">
                  <c:v>0.73321211119293428</c:v>
                </c:pt>
                <c:pt idx="33">
                  <c:v>0.74236109811869855</c:v>
                </c:pt>
                <c:pt idx="34">
                  <c:v>0.751265598839718</c:v>
                </c:pt>
                <c:pt idx="35">
                  <c:v>0.75993420767853315</c:v>
                </c:pt>
                <c:pt idx="36">
                  <c:v>0.7683749084919419</c:v>
                </c:pt>
                <c:pt idx="37">
                  <c:v>0.77659513261415691</c:v>
                </c:pt>
                <c:pt idx="38">
                  <c:v>0.7846018098373212</c:v>
                </c:pt>
                <c:pt idx="39">
                  <c:v>0.79240141342630122</c:v>
                </c:pt>
                <c:pt idx="40">
                  <c:v>0.8</c:v>
                </c:pt>
                <c:pt idx="41">
                  <c:v>0.80740324497737814</c:v>
                </c:pt>
                <c:pt idx="42">
                  <c:v>0.81461647417665206</c:v>
                </c:pt>
                <c:pt idx="43">
                  <c:v>0.82164469206585888</c:v>
                </c:pt>
                <c:pt idx="44">
                  <c:v>0.82849260708831907</c:v>
                </c:pt>
                <c:pt idx="45">
                  <c:v>0.83516465442450327</c:v>
                </c:pt>
                <c:pt idx="46">
                  <c:v>0.84166501650003245</c:v>
                </c:pt>
                <c:pt idx="47">
                  <c:v>0.8479976415061542</c:v>
                </c:pt>
                <c:pt idx="48">
                  <c:v>0.85416626016250496</c:v>
                </c:pt>
                <c:pt idx="49">
                  <c:v>0.86017440092111552</c:v>
                </c:pt>
                <c:pt idx="50">
                  <c:v>0.8660254037844386</c:v>
                </c:pt>
                <c:pt idx="51">
                  <c:v>0.87172243288790041</c:v>
                </c:pt>
                <c:pt idx="52">
                  <c:v>0.87726848797845236</c:v>
                </c:pt>
                <c:pt idx="53">
                  <c:v>0.88266641490429443</c:v>
                </c:pt>
                <c:pt idx="54">
                  <c:v>0.88791891521692456</c:v>
                </c:pt>
                <c:pt idx="55">
                  <c:v>0.89302855497458755</c:v>
                </c:pt>
                <c:pt idx="56">
                  <c:v>0.89799777282574589</c:v>
                </c:pt>
                <c:pt idx="57">
                  <c:v>0.90282888744213363</c:v>
                </c:pt>
                <c:pt idx="58">
                  <c:v>0.90752410436307474</c:v>
                </c:pt>
                <c:pt idx="59">
                  <c:v>0.91208552230588602</c:v>
                </c:pt>
                <c:pt idx="60">
                  <c:v>0.91651513899116843</c:v>
                </c:pt>
                <c:pt idx="61">
                  <c:v>0.92081485652654449</c:v>
                </c:pt>
                <c:pt idx="62">
                  <c:v>0.9249864863877747</c:v>
                </c:pt>
                <c:pt idx="63">
                  <c:v>0.92903175403212179</c:v>
                </c:pt>
                <c:pt idx="64">
                  <c:v>0.93295230317524847</c:v>
                </c:pt>
                <c:pt idx="65">
                  <c:v>0.93674969975976008</c:v>
                </c:pt>
                <c:pt idx="66">
                  <c:v>0.94042543564070014</c:v>
                </c:pt>
                <c:pt idx="67">
                  <c:v>0.94398093201081168</c:v>
                </c:pt>
                <c:pt idx="68">
                  <c:v>0.94741754258616118</c:v>
                </c:pt>
                <c:pt idx="69">
                  <c:v>0.95073655657074663</c:v>
                </c:pt>
                <c:pt idx="70">
                  <c:v>0.95393920141694599</c:v>
                </c:pt>
                <c:pt idx="71">
                  <c:v>0.95702664539708637</c:v>
                </c:pt>
                <c:pt idx="72">
                  <c:v>0.9600000000000003</c:v>
                </c:pt>
                <c:pt idx="73">
                  <c:v>0.96286032216516249</c:v>
                </c:pt>
                <c:pt idx="74">
                  <c:v>0.96560861636586515</c:v>
                </c:pt>
                <c:pt idx="75">
                  <c:v>0.96824583655185448</c:v>
                </c:pt>
                <c:pt idx="76">
                  <c:v>0.97077288796092798</c:v>
                </c:pt>
                <c:pt idx="77">
                  <c:v>0.97319062880814899</c:v>
                </c:pt>
                <c:pt idx="78">
                  <c:v>0.97549987186057607</c:v>
                </c:pt>
                <c:pt idx="79">
                  <c:v>0.977701385904715</c:v>
                </c:pt>
                <c:pt idx="80">
                  <c:v>0.97979589711327142</c:v>
                </c:pt>
                <c:pt idx="81">
                  <c:v>0.98178409031721448</c:v>
                </c:pt>
                <c:pt idx="82">
                  <c:v>0.98366661018863522</c:v>
                </c:pt>
                <c:pt idx="83">
                  <c:v>0.98544406233941062</c:v>
                </c:pt>
                <c:pt idx="84">
                  <c:v>0.98711701434024546</c:v>
                </c:pt>
                <c:pt idx="85">
                  <c:v>0.9886859966642596</c:v>
                </c:pt>
                <c:pt idx="86">
                  <c:v>0.99015150355892523</c:v>
                </c:pt>
                <c:pt idx="87">
                  <c:v>0.99151399384980965</c:v>
                </c:pt>
                <c:pt idx="88">
                  <c:v>0.99277389167926866</c:v>
                </c:pt>
                <c:pt idx="89">
                  <c:v>0.99393158718294095</c:v>
                </c:pt>
                <c:pt idx="90">
                  <c:v>0.99498743710662008</c:v>
                </c:pt>
                <c:pt idx="91">
                  <c:v>0.99594176536582713</c:v>
                </c:pt>
                <c:pt idx="92">
                  <c:v>0.99679486355016911</c:v>
                </c:pt>
                <c:pt idx="93">
                  <c:v>0.99754699137434122</c:v>
                </c:pt>
                <c:pt idx="94">
                  <c:v>0.99819837707742243</c:v>
                </c:pt>
                <c:pt idx="95">
                  <c:v>0.99874921777190895</c:v>
                </c:pt>
                <c:pt idx="96">
                  <c:v>0.9991996797437438</c:v>
                </c:pt>
                <c:pt idx="97">
                  <c:v>0.99954989870441191</c:v>
                </c:pt>
                <c:pt idx="98">
                  <c:v>0.99979997999599901</c:v>
                </c:pt>
                <c:pt idx="99">
                  <c:v>0.99994999874993751</c:v>
                </c:pt>
                <c:pt idx="100">
                  <c:v>1</c:v>
                </c:pt>
              </c:numCache>
            </c:numRef>
          </c:xVal>
          <c:yVal>
            <c:numRef>
              <c:f>'Δu%=f(cosϕ) у хладном стању'!$I$102:$I$202</c:f>
              <c:numCache>
                <c:formatCode>0.000%</c:formatCode>
                <c:ptCount val="101"/>
                <c:pt idx="0">
                  <c:v>9.1621292996997672E-2</c:v>
                </c:pt>
                <c:pt idx="1">
                  <c:v>9.3506879980687019E-2</c:v>
                </c:pt>
                <c:pt idx="2">
                  <c:v>9.3741751339021545E-2</c:v>
                </c:pt>
                <c:pt idx="3">
                  <c:v>9.37021720660631E-2</c:v>
                </c:pt>
                <c:pt idx="4">
                  <c:v>9.3519391135296767E-2</c:v>
                </c:pt>
                <c:pt idx="5">
                  <c:v>9.3244379096985491E-2</c:v>
                </c:pt>
                <c:pt idx="6">
                  <c:v>9.2903340635551959E-2</c:v>
                </c:pt>
                <c:pt idx="7">
                  <c:v>9.2511879194209751E-2</c:v>
                </c:pt>
                <c:pt idx="8">
                  <c:v>9.2080184526069309E-2</c:v>
                </c:pt>
                <c:pt idx="9">
                  <c:v>9.1615350212316551E-2</c:v>
                </c:pt>
                <c:pt idx="10">
                  <c:v>9.1122552243988186E-2</c:v>
                </c:pt>
                <c:pt idx="11">
                  <c:v>9.060570632504801E-2</c:v>
                </c:pt>
                <c:pt idx="12">
                  <c:v>9.0067860815394377E-2</c:v>
                </c:pt>
                <c:pt idx="13">
                  <c:v>8.9511444752499128E-2</c:v>
                </c:pt>
                <c:pt idx="14">
                  <c:v>8.8938431402329085E-2</c:v>
                </c:pt>
                <c:pt idx="15">
                  <c:v>8.8350450066381481E-2</c:v>
                </c:pt>
                <c:pt idx="16">
                  <c:v>8.7748864861154185E-2</c:v>
                </c:pt>
                <c:pt idx="17">
                  <c:v>8.7134831673158455E-2</c:v>
                </c:pt>
                <c:pt idx="18">
                  <c:v>8.6509340258986323E-2</c:v>
                </c:pt>
                <c:pt idx="19">
                  <c:v>8.5873245971957946E-2</c:v>
                </c:pt>
                <c:pt idx="20">
                  <c:v>8.5227294080911065E-2</c:v>
                </c:pt>
                <c:pt idx="21">
                  <c:v>8.4572138693486745E-2</c:v>
                </c:pt>
                <c:pt idx="22">
                  <c:v>8.3908357680112858E-2</c:v>
                </c:pt>
                <c:pt idx="23">
                  <c:v>8.3236464586744732E-2</c:v>
                </c:pt>
                <c:pt idx="24">
                  <c:v>8.255691824809433E-2</c:v>
                </c:pt>
                <c:pt idx="25">
                  <c:v>8.1870130622293383E-2</c:v>
                </c:pt>
                <c:pt idx="26">
                  <c:v>8.1176473233855434E-2</c:v>
                </c:pt>
                <c:pt idx="27">
                  <c:v>8.0476282516046799E-2</c:v>
                </c:pt>
                <c:pt idx="28">
                  <c:v>7.9769864274381166E-2</c:v>
                </c:pt>
                <c:pt idx="29">
                  <c:v>7.9057497441981359E-2</c:v>
                </c:pt>
                <c:pt idx="30">
                  <c:v>7.8339437259647288E-2</c:v>
                </c:pt>
                <c:pt idx="31">
                  <c:v>7.7615917984960162E-2</c:v>
                </c:pt>
                <c:pt idx="32">
                  <c:v>7.688715521308169E-2</c:v>
                </c:pt>
                <c:pt idx="33">
                  <c:v>7.6153347875272767E-2</c:v>
                </c:pt>
                <c:pt idx="34">
                  <c:v>7.5414679968271336E-2</c:v>
                </c:pt>
                <c:pt idx="35">
                  <c:v>7.4671322057601894E-2</c:v>
                </c:pt>
                <c:pt idx="36">
                  <c:v>7.3923432589963395E-2</c:v>
                </c:pt>
                <c:pt idx="37">
                  <c:v>7.3171159043552286E-2</c:v>
                </c:pt>
                <c:pt idx="38">
                  <c:v>7.2414638940154263E-2</c:v>
                </c:pt>
                <c:pt idx="39">
                  <c:v>7.1654000738797213E-2</c:v>
                </c:pt>
                <c:pt idx="40">
                  <c:v>7.0889364627488197E-2</c:v>
                </c:pt>
                <c:pt idx="41">
                  <c:v>7.0120843226896046E-2</c:v>
                </c:pt>
                <c:pt idx="42">
                  <c:v>6.9348542217662984E-2</c:v>
                </c:pt>
                <c:pt idx="43">
                  <c:v>6.857256090123566E-2</c:v>
                </c:pt>
                <c:pt idx="44">
                  <c:v>6.7792992702624441E-2</c:v>
                </c:pt>
                <c:pt idx="45">
                  <c:v>6.700992562226793E-2</c:v>
                </c:pt>
                <c:pt idx="46">
                  <c:v>6.622344264315197E-2</c:v>
                </c:pt>
                <c:pt idx="47">
                  <c:v>6.5433622098470701E-2</c:v>
                </c:pt>
                <c:pt idx="48">
                  <c:v>6.46405380043924E-2</c:v>
                </c:pt>
                <c:pt idx="49">
                  <c:v>6.3844260361879693E-2</c:v>
                </c:pt>
                <c:pt idx="50">
                  <c:v>6.3044855430994737E-2</c:v>
                </c:pt>
                <c:pt idx="51">
                  <c:v>6.224238598067687E-2</c:v>
                </c:pt>
                <c:pt idx="52">
                  <c:v>6.1436911516603264E-2</c:v>
                </c:pt>
                <c:pt idx="53">
                  <c:v>6.062848848941884E-2</c:v>
                </c:pt>
                <c:pt idx="54">
                  <c:v>5.9817170485343789E-2</c:v>
                </c:pt>
                <c:pt idx="55">
                  <c:v>5.9003008400926926E-2</c:v>
                </c:pt>
                <c:pt idx="56">
                  <c:v>5.8186050603505887E-2</c:v>
                </c:pt>
                <c:pt idx="57">
                  <c:v>5.7366343078754996E-2</c:v>
                </c:pt>
                <c:pt idx="58">
                  <c:v>5.6543929566545761E-2</c:v>
                </c:pt>
                <c:pt idx="59">
                  <c:v>5.5718851686207174E-2</c:v>
                </c:pt>
                <c:pt idx="60">
                  <c:v>5.489114905215637E-2</c:v>
                </c:pt>
                <c:pt idx="61">
                  <c:v>5.4060859380762931E-2</c:v>
                </c:pt>
                <c:pt idx="62">
                  <c:v>5.3228018589220605E-2</c:v>
                </c:pt>
                <c:pt idx="63">
                  <c:v>5.2392660887118109E-2</c:v>
                </c:pt>
                <c:pt idx="64">
                  <c:v>5.155481886133053E-2</c:v>
                </c:pt>
                <c:pt idx="65">
                  <c:v>5.0714523554789108E-2</c:v>
                </c:pt>
                <c:pt idx="66">
                  <c:v>4.9871804539632025E-2</c:v>
                </c:pt>
                <c:pt idx="67">
                  <c:v>4.9026689985188839E-2</c:v>
                </c:pt>
                <c:pt idx="68">
                  <c:v>4.8179206721207686E-2</c:v>
                </c:pt>
                <c:pt idx="69">
                  <c:v>4.7329380296694819E-2</c:v>
                </c:pt>
                <c:pt idx="70">
                  <c:v>4.6477235034700956E-2</c:v>
                </c:pt>
                <c:pt idx="71">
                  <c:v>4.5622794083358134E-2</c:v>
                </c:pt>
                <c:pt idx="72">
                  <c:v>4.476607946344191E-2</c:v>
                </c:pt>
                <c:pt idx="73">
                  <c:v>4.3907112112709222E-2</c:v>
                </c:pt>
                <c:pt idx="74">
                  <c:v>4.304591192723925E-2</c:v>
                </c:pt>
                <c:pt idx="75">
                  <c:v>4.2182497799984078E-2</c:v>
                </c:pt>
                <c:pt idx="76">
                  <c:v>4.1316887656717934E-2</c:v>
                </c:pt>
                <c:pt idx="77">
                  <c:v>4.0449098489556648E-2</c:v>
                </c:pt>
                <c:pt idx="78">
                  <c:v>3.9579146388204187E-2</c:v>
                </c:pt>
                <c:pt idx="79">
                  <c:v>3.8707046569069349E-2</c:v>
                </c:pt>
                <c:pt idx="80">
                  <c:v>3.7832813402383161E-2</c:v>
                </c:pt>
                <c:pt idx="81">
                  <c:v>3.6956460437436223E-2</c:v>
                </c:pt>
                <c:pt idx="82">
                  <c:v>3.6078000426044983E-2</c:v>
                </c:pt>
                <c:pt idx="83">
                  <c:v>3.5197445344346247E-2</c:v>
                </c:pt>
                <c:pt idx="84">
                  <c:v>3.4314806413010754E-2</c:v>
                </c:pt>
                <c:pt idx="85">
                  <c:v>3.3430094115958514E-2</c:v>
                </c:pt>
                <c:pt idx="86">
                  <c:v>3.2543318217651426E-2</c:v>
                </c:pt>
                <c:pt idx="87">
                  <c:v>3.1654487779031737E-2</c:v>
                </c:pt>
                <c:pt idx="88">
                  <c:v>3.0763611172168682E-2</c:v>
                </c:pt>
                <c:pt idx="89">
                  <c:v>2.9870696093670001E-2</c:v>
                </c:pt>
                <c:pt idx="90">
                  <c:v>2.8975749576909415E-2</c:v>
                </c:pt>
                <c:pt idx="91">
                  <c:v>2.8078778003116006E-2</c:v>
                </c:pt>
                <c:pt idx="92">
                  <c:v>2.717978711136711E-2</c:v>
                </c:pt>
                <c:pt idx="93">
                  <c:v>2.6278782007521356E-2</c:v>
                </c:pt>
                <c:pt idx="94">
                  <c:v>2.537576717212469E-2</c:v>
                </c:pt>
                <c:pt idx="95">
                  <c:v>2.447074646731795E-2</c:v>
                </c:pt>
                <c:pt idx="96">
                  <c:v>2.3563723142771074E-2</c:v>
                </c:pt>
                <c:pt idx="97">
                  <c:v>2.2654699840664885E-2</c:v>
                </c:pt>
                <c:pt idx="98">
                  <c:v>2.1743678599738466E-2</c:v>
                </c:pt>
                <c:pt idx="99">
                  <c:v>2.0830660858416377E-2</c:v>
                </c:pt>
                <c:pt idx="100">
                  <c:v>1.9915647457026814E-2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404800"/>
        <c:axId val="243406336"/>
      </c:scatterChart>
      <c:valAx>
        <c:axId val="24340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3406336"/>
        <c:crosses val="autoZero"/>
        <c:crossBetween val="midCat"/>
      </c:valAx>
      <c:valAx>
        <c:axId val="243406336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2434048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Δu%=f(cosϕ)</c:v>
          </c:tx>
          <c:marker>
            <c:symbol val="none"/>
          </c:marker>
          <c:cat>
            <c:numRef>
              <c:f>'Δu%=f(cosϕ) у хладном стању'!$E$2:$E$202</c:f>
              <c:numCache>
                <c:formatCode>General</c:formatCode>
                <c:ptCount val="2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0.99</c:v>
                </c:pt>
                <c:pt idx="102">
                  <c:v>0.98</c:v>
                </c:pt>
                <c:pt idx="103">
                  <c:v>0.97</c:v>
                </c:pt>
                <c:pt idx="104">
                  <c:v>0.96</c:v>
                </c:pt>
                <c:pt idx="105">
                  <c:v>0.95</c:v>
                </c:pt>
                <c:pt idx="106">
                  <c:v>0.94</c:v>
                </c:pt>
                <c:pt idx="107">
                  <c:v>0.93</c:v>
                </c:pt>
                <c:pt idx="108">
                  <c:v>0.92</c:v>
                </c:pt>
                <c:pt idx="109">
                  <c:v>0.91</c:v>
                </c:pt>
                <c:pt idx="110">
                  <c:v>0.9</c:v>
                </c:pt>
                <c:pt idx="111">
                  <c:v>0.89</c:v>
                </c:pt>
                <c:pt idx="112">
                  <c:v>0.88</c:v>
                </c:pt>
                <c:pt idx="113">
                  <c:v>0.87</c:v>
                </c:pt>
                <c:pt idx="114">
                  <c:v>0.86</c:v>
                </c:pt>
                <c:pt idx="115">
                  <c:v>0.85</c:v>
                </c:pt>
                <c:pt idx="116">
                  <c:v>0.84</c:v>
                </c:pt>
                <c:pt idx="117">
                  <c:v>0.83</c:v>
                </c:pt>
                <c:pt idx="118">
                  <c:v>0.82</c:v>
                </c:pt>
                <c:pt idx="119">
                  <c:v>0.81</c:v>
                </c:pt>
                <c:pt idx="120">
                  <c:v>0.8</c:v>
                </c:pt>
                <c:pt idx="121">
                  <c:v>0.79</c:v>
                </c:pt>
                <c:pt idx="122">
                  <c:v>0.78</c:v>
                </c:pt>
                <c:pt idx="123">
                  <c:v>0.77</c:v>
                </c:pt>
                <c:pt idx="124">
                  <c:v>0.76</c:v>
                </c:pt>
                <c:pt idx="125">
                  <c:v>0.75</c:v>
                </c:pt>
                <c:pt idx="126">
                  <c:v>0.74</c:v>
                </c:pt>
                <c:pt idx="127">
                  <c:v>0.73</c:v>
                </c:pt>
                <c:pt idx="128">
                  <c:v>0.72</c:v>
                </c:pt>
                <c:pt idx="129">
                  <c:v>0.71</c:v>
                </c:pt>
                <c:pt idx="130">
                  <c:v>0.7</c:v>
                </c:pt>
                <c:pt idx="131">
                  <c:v>0.69</c:v>
                </c:pt>
                <c:pt idx="132">
                  <c:v>0.68</c:v>
                </c:pt>
                <c:pt idx="133">
                  <c:v>0.67</c:v>
                </c:pt>
                <c:pt idx="134">
                  <c:v>0.66</c:v>
                </c:pt>
                <c:pt idx="135">
                  <c:v>0.65</c:v>
                </c:pt>
                <c:pt idx="136">
                  <c:v>0.64</c:v>
                </c:pt>
                <c:pt idx="137">
                  <c:v>0.63</c:v>
                </c:pt>
                <c:pt idx="138">
                  <c:v>0.62</c:v>
                </c:pt>
                <c:pt idx="139">
                  <c:v>0.61</c:v>
                </c:pt>
                <c:pt idx="140">
                  <c:v>0.6</c:v>
                </c:pt>
                <c:pt idx="141">
                  <c:v>0.59</c:v>
                </c:pt>
                <c:pt idx="142">
                  <c:v>0.57999999999999996</c:v>
                </c:pt>
                <c:pt idx="143">
                  <c:v>0.56999999999999995</c:v>
                </c:pt>
                <c:pt idx="144">
                  <c:v>0.56000000000000005</c:v>
                </c:pt>
                <c:pt idx="145">
                  <c:v>0.55000000000000004</c:v>
                </c:pt>
                <c:pt idx="146">
                  <c:v>0.54</c:v>
                </c:pt>
                <c:pt idx="147">
                  <c:v>0.53</c:v>
                </c:pt>
                <c:pt idx="148">
                  <c:v>0.52</c:v>
                </c:pt>
                <c:pt idx="149">
                  <c:v>0.51</c:v>
                </c:pt>
                <c:pt idx="150">
                  <c:v>0.5</c:v>
                </c:pt>
                <c:pt idx="151">
                  <c:v>0.49</c:v>
                </c:pt>
                <c:pt idx="152">
                  <c:v>0.48</c:v>
                </c:pt>
                <c:pt idx="153">
                  <c:v>0.47</c:v>
                </c:pt>
                <c:pt idx="154">
                  <c:v>0.46</c:v>
                </c:pt>
                <c:pt idx="155">
                  <c:v>0.45</c:v>
                </c:pt>
                <c:pt idx="156">
                  <c:v>0.44</c:v>
                </c:pt>
                <c:pt idx="157">
                  <c:v>0.42999999999999899</c:v>
                </c:pt>
                <c:pt idx="158">
                  <c:v>0.41999999999999899</c:v>
                </c:pt>
                <c:pt idx="159">
                  <c:v>0.40999999999999898</c:v>
                </c:pt>
                <c:pt idx="160">
                  <c:v>0.39999999999999902</c:v>
                </c:pt>
                <c:pt idx="161">
                  <c:v>0.38999999999999901</c:v>
                </c:pt>
                <c:pt idx="162">
                  <c:v>0.37999999999999901</c:v>
                </c:pt>
                <c:pt idx="163">
                  <c:v>0.369999999999999</c:v>
                </c:pt>
                <c:pt idx="164">
                  <c:v>0.35999999999999899</c:v>
                </c:pt>
                <c:pt idx="165">
                  <c:v>0.34999999999999898</c:v>
                </c:pt>
                <c:pt idx="166">
                  <c:v>0.33999999999999903</c:v>
                </c:pt>
                <c:pt idx="167">
                  <c:v>0.32999999999999902</c:v>
                </c:pt>
                <c:pt idx="168">
                  <c:v>0.31999999999999901</c:v>
                </c:pt>
                <c:pt idx="169">
                  <c:v>0.309999999999999</c:v>
                </c:pt>
                <c:pt idx="170">
                  <c:v>0.29999999999999899</c:v>
                </c:pt>
                <c:pt idx="171">
                  <c:v>0.28999999999999898</c:v>
                </c:pt>
                <c:pt idx="172">
                  <c:v>0.27999999999999903</c:v>
                </c:pt>
                <c:pt idx="173">
                  <c:v>0.26999999999999902</c:v>
                </c:pt>
                <c:pt idx="174">
                  <c:v>0.25999999999999901</c:v>
                </c:pt>
                <c:pt idx="175">
                  <c:v>0.249999999999999</c:v>
                </c:pt>
                <c:pt idx="176">
                  <c:v>0.23999999999999899</c:v>
                </c:pt>
                <c:pt idx="177">
                  <c:v>0.22999999999999901</c:v>
                </c:pt>
                <c:pt idx="178">
                  <c:v>0.219999999999999</c:v>
                </c:pt>
                <c:pt idx="179">
                  <c:v>0.20999999999999899</c:v>
                </c:pt>
                <c:pt idx="180">
                  <c:v>0.19999999999999901</c:v>
                </c:pt>
                <c:pt idx="181">
                  <c:v>0.189999999999999</c:v>
                </c:pt>
                <c:pt idx="182">
                  <c:v>0.17999999999999899</c:v>
                </c:pt>
                <c:pt idx="183">
                  <c:v>0.16999999999999901</c:v>
                </c:pt>
                <c:pt idx="184">
                  <c:v>0.159999999999999</c:v>
                </c:pt>
                <c:pt idx="185">
                  <c:v>0.149999999999999</c:v>
                </c:pt>
                <c:pt idx="186">
                  <c:v>0.13999999999999899</c:v>
                </c:pt>
                <c:pt idx="187">
                  <c:v>0.12999999999999901</c:v>
                </c:pt>
                <c:pt idx="188">
                  <c:v>0.119999999999999</c:v>
                </c:pt>
                <c:pt idx="189">
                  <c:v>0.109999999999999</c:v>
                </c:pt>
                <c:pt idx="190">
                  <c:v>9.9999999999999006E-2</c:v>
                </c:pt>
                <c:pt idx="191">
                  <c:v>8.9999999999998997E-2</c:v>
                </c:pt>
                <c:pt idx="192">
                  <c:v>7.9999999999999002E-2</c:v>
                </c:pt>
                <c:pt idx="193">
                  <c:v>6.9999999999998994E-2</c:v>
                </c:pt>
                <c:pt idx="194">
                  <c:v>5.9999999999999103E-2</c:v>
                </c:pt>
                <c:pt idx="195">
                  <c:v>4.9999999999998997E-2</c:v>
                </c:pt>
                <c:pt idx="196">
                  <c:v>3.9999999999999002E-2</c:v>
                </c:pt>
                <c:pt idx="197">
                  <c:v>2.9999999999999E-2</c:v>
                </c:pt>
                <c:pt idx="198">
                  <c:v>1.9999999999999001E-2</c:v>
                </c:pt>
                <c:pt idx="199">
                  <c:v>9.9999999999990097E-3</c:v>
                </c:pt>
                <c:pt idx="200">
                  <c:v>0</c:v>
                </c:pt>
              </c:numCache>
            </c:numRef>
          </c:cat>
          <c:val>
            <c:numRef>
              <c:f>'Δu%=f(cosϕ) у хладном стању'!$I$2:$I$202</c:f>
              <c:numCache>
                <c:formatCode>0.000%</c:formatCode>
                <c:ptCount val="201"/>
                <c:pt idx="0">
                  <c:v>-1.9831706462385801E-2</c:v>
                </c:pt>
                <c:pt idx="1">
                  <c:v>-1.8914341499275521E-2</c:v>
                </c:pt>
                <c:pt idx="2">
                  <c:v>-1.799499687437053E-2</c:v>
                </c:pt>
                <c:pt idx="3">
                  <c:v>-1.7073671747342724E-2</c:v>
                </c:pt>
                <c:pt idx="4">
                  <c:v>-1.6150364679767552E-2</c:v>
                </c:pt>
                <c:pt idx="5">
                  <c:v>-1.5225073632905919E-2</c:v>
                </c:pt>
                <c:pt idx="6">
                  <c:v>-1.4297795964576995E-2</c:v>
                </c:pt>
                <c:pt idx="7">
                  <c:v>-1.3368528425110871E-2</c:v>
                </c:pt>
                <c:pt idx="8">
                  <c:v>-1.2437267152366685E-2</c:v>
                </c:pt>
                <c:pt idx="9">
                  <c:v>-1.1504007665798493E-2</c:v>
                </c:pt>
                <c:pt idx="10">
                  <c:v>-1.0568744859547674E-2</c:v>
                </c:pt>
                <c:pt idx="11">
                  <c:v>-9.6314729945368958E-3</c:v>
                </c:pt>
                <c:pt idx="12">
                  <c:v>-8.6921856895370558E-3</c:v>
                </c:pt>
                <c:pt idx="13">
                  <c:v>-7.7508759111744579E-3</c:v>
                </c:pt>
                <c:pt idx="14">
                  <c:v>-6.8075359628413448E-3</c:v>
                </c:pt>
                <c:pt idx="15">
                  <c:v>-5.8621574724684791E-3</c:v>
                </c:pt>
                <c:pt idx="16">
                  <c:v>-4.9147313791136297E-3</c:v>
                </c:pt>
                <c:pt idx="17">
                  <c:v>-3.9652479183148927E-3</c:v>
                </c:pt>
                <c:pt idx="18">
                  <c:v>-3.0136966061522566E-3</c:v>
                </c:pt>
                <c:pt idx="19">
                  <c:v>-2.0600662219549715E-3</c:v>
                </c:pt>
                <c:pt idx="20">
                  <c:v>-1.1043447895862444E-3</c:v>
                </c:pt>
                <c:pt idx="21">
                  <c:v>-1.4651955722962628E-4</c:v>
                </c:pt>
                <c:pt idx="22">
                  <c:v>8.1342302440549159E-4</c:v>
                </c:pt>
                <c:pt idx="23">
                  <c:v>1.775497325550124E-3</c:v>
                </c:pt>
                <c:pt idx="24">
                  <c:v>2.7397185626130724E-3</c:v>
                </c:pt>
                <c:pt idx="25">
                  <c:v>3.7061028252983103E-3</c:v>
                </c:pt>
                <c:pt idx="26">
                  <c:v>4.6746671057216662E-3</c:v>
                </c:pt>
                <c:pt idx="27">
                  <c:v>5.6454293296573635E-3</c:v>
                </c:pt>
                <c:pt idx="28">
                  <c:v>6.6184083900574899E-3</c:v>
                </c:pt>
                <c:pt idx="29">
                  <c:v>7.5936241830012125E-3</c:v>
                </c:pt>
                <c:pt idx="30">
                  <c:v>8.5710976462454944E-3</c:v>
                </c:pt>
                <c:pt idx="31">
                  <c:v>9.5508508005658788E-3</c:v>
                </c:pt>
                <c:pt idx="32">
                  <c:v>1.0532906794094391E-2</c:v>
                </c:pt>
                <c:pt idx="33">
                  <c:v>1.1517289949881783E-2</c:v>
                </c:pt>
                <c:pt idx="34">
                  <c:v>1.2504025816934267E-2</c:v>
                </c:pt>
                <c:pt idx="35">
                  <c:v>1.3493141224999994E-2</c:v>
                </c:pt>
                <c:pt idx="36">
                  <c:v>1.4484664343408539E-2</c:v>
                </c:pt>
                <c:pt idx="37">
                  <c:v>1.5478624744298061E-2</c:v>
                </c:pt>
                <c:pt idx="38">
                  <c:v>1.6475053470599813E-2</c:v>
                </c:pt>
                <c:pt idx="39">
                  <c:v>1.7473983109188879E-2</c:v>
                </c:pt>
                <c:pt idx="40">
                  <c:v>1.847544786965398E-2</c:v>
                </c:pt>
                <c:pt idx="41">
                  <c:v>1.9479483669188842E-2</c:v>
                </c:pt>
                <c:pt idx="42">
                  <c:v>2.0486128224163087E-2</c:v>
                </c:pt>
                <c:pt idx="43">
                  <c:v>2.1495421148993814E-2</c:v>
                </c:pt>
                <c:pt idx="44">
                  <c:v>2.2507404063010123E-2</c:v>
                </c:pt>
                <c:pt idx="45">
                  <c:v>2.3522120706083345E-2</c:v>
                </c:pt>
                <c:pt idx="46">
                  <c:v>2.453961706388787E-2</c:v>
                </c:pt>
                <c:pt idx="47">
                  <c:v>2.5559941503761351E-2</c:v>
                </c:pt>
                <c:pt idx="48">
                  <c:v>2.6583144922252621E-2</c:v>
                </c:pt>
                <c:pt idx="49">
                  <c:v>2.7609280905581842E-2</c:v>
                </c:pt>
                <c:pt idx="50">
                  <c:v>2.8638405904393947E-2</c:v>
                </c:pt>
                <c:pt idx="51">
                  <c:v>2.96705794243661E-2</c:v>
                </c:pt>
                <c:pt idx="52">
                  <c:v>3.070586423443766E-2</c:v>
                </c:pt>
                <c:pt idx="53">
                  <c:v>3.1744326594670753E-2</c:v>
                </c:pt>
                <c:pt idx="54">
                  <c:v>3.2786036506028036E-2</c:v>
                </c:pt>
                <c:pt idx="55">
                  <c:v>3.3831067984677769E-2</c:v>
                </c:pt>
                <c:pt idx="56">
                  <c:v>3.4879499363814091E-2</c:v>
                </c:pt>
                <c:pt idx="57">
                  <c:v>3.5931413626422833E-2</c:v>
                </c:pt>
                <c:pt idx="58">
                  <c:v>3.6986898772942624E-2</c:v>
                </c:pt>
                <c:pt idx="59">
                  <c:v>3.8046048228383839E-2</c:v>
                </c:pt>
                <c:pt idx="60">
                  <c:v>3.9108961294193105E-2</c:v>
                </c:pt>
                <c:pt idx="61">
                  <c:v>4.0175743651012633E-2</c:v>
                </c:pt>
                <c:pt idx="62">
                  <c:v>4.1246507919511288E-2</c:v>
                </c:pt>
                <c:pt idx="63">
                  <c:v>4.2321374287696098E-2</c:v>
                </c:pt>
                <c:pt idx="64">
                  <c:v>4.3400471214594956E-2</c:v>
                </c:pt>
                <c:pt idx="65">
                  <c:v>4.4483936221993585E-2</c:v>
                </c:pt>
                <c:pt idx="66">
                  <c:v>4.5571916788088425E-2</c:v>
                </c:pt>
                <c:pt idx="67">
                  <c:v>4.6664571359578397E-2</c:v>
                </c:pt>
                <c:pt idx="68">
                  <c:v>4.7762070501988045E-2</c:v>
                </c:pt>
                <c:pt idx="69">
                  <c:v>4.8864598212055251E-2</c:v>
                </c:pt>
                <c:pt idx="70">
                  <c:v>4.9972353421040991E-2</c:v>
                </c:pt>
                <c:pt idx="71">
                  <c:v>5.1085551724106906E-2</c:v>
                </c:pt>
                <c:pt idx="72">
                  <c:v>5.2204427378834219E-2</c:v>
                </c:pt>
                <c:pt idx="73">
                  <c:v>5.3329235626022868E-2</c:v>
                </c:pt>
                <c:pt idx="74">
                  <c:v>5.4460255398795641E-2</c:v>
                </c:pt>
                <c:pt idx="75">
                  <c:v>5.5597792502666256E-2</c:v>
                </c:pt>
                <c:pt idx="76">
                  <c:v>5.6742183370901013E-2</c:v>
                </c:pt>
                <c:pt idx="77">
                  <c:v>5.7893799528013455E-2</c:v>
                </c:pt>
                <c:pt idx="78">
                  <c:v>5.9053052932135315E-2</c:v>
                </c:pt>
                <c:pt idx="79">
                  <c:v>6.0220402417978561E-2</c:v>
                </c:pt>
                <c:pt idx="80">
                  <c:v>6.1396361531498522E-2</c:v>
                </c:pt>
                <c:pt idx="81">
                  <c:v>6.2581508143123091E-2</c:v>
                </c:pt>
                <c:pt idx="82">
                  <c:v>6.3776496360493248E-2</c:v>
                </c:pt>
                <c:pt idx="83">
                  <c:v>6.4982071452446832E-2</c:v>
                </c:pt>
                <c:pt idx="84">
                  <c:v>6.619908877230396E-2</c:v>
                </c:pt>
                <c:pt idx="85">
                  <c:v>6.7428538076656663E-2</c:v>
                </c:pt>
                <c:pt idx="86">
                  <c:v>6.8671575252016198E-2</c:v>
                </c:pt>
                <c:pt idx="87">
                  <c:v>6.9929564414880435E-2</c:v>
                </c:pt>
                <c:pt idx="88">
                  <c:v>7.1204134866746635E-2</c:v>
                </c:pt>
                <c:pt idx="89">
                  <c:v>7.2497259873581577E-2</c:v>
                </c:pt>
                <c:pt idx="90">
                  <c:v>7.3811368472857117E-2</c:v>
                </c:pt>
                <c:pt idx="91">
                  <c:v>7.5149509024471609E-2</c:v>
                </c:pt>
                <c:pt idx="92">
                  <c:v>7.6515597232388849E-2</c:v>
                </c:pt>
                <c:pt idx="93">
                  <c:v>7.7914809087645545E-2</c:v>
                </c:pt>
                <c:pt idx="94">
                  <c:v>7.9354238171427602E-2</c:v>
                </c:pt>
                <c:pt idx="95">
                  <c:v>8.0844074236845545E-2</c:v>
                </c:pt>
                <c:pt idx="96">
                  <c:v>8.2399920727112844E-2</c:v>
                </c:pt>
                <c:pt idx="97">
                  <c:v>8.4047982326652226E-2</c:v>
                </c:pt>
                <c:pt idx="98">
                  <c:v>8.5839229585726637E-2</c:v>
                </c:pt>
                <c:pt idx="99">
                  <c:v>8.7904911477821174E-2</c:v>
                </c:pt>
                <c:pt idx="100">
                  <c:v>9.1621292996997672E-2</c:v>
                </c:pt>
                <c:pt idx="101">
                  <c:v>9.3506879980687019E-2</c:v>
                </c:pt>
                <c:pt idx="102">
                  <c:v>9.3741751339021545E-2</c:v>
                </c:pt>
                <c:pt idx="103">
                  <c:v>9.37021720660631E-2</c:v>
                </c:pt>
                <c:pt idx="104">
                  <c:v>9.3519391135296767E-2</c:v>
                </c:pt>
                <c:pt idx="105">
                  <c:v>9.3244379096985491E-2</c:v>
                </c:pt>
                <c:pt idx="106">
                  <c:v>9.2903340635551959E-2</c:v>
                </c:pt>
                <c:pt idx="107">
                  <c:v>9.2511879194209751E-2</c:v>
                </c:pt>
                <c:pt idx="108">
                  <c:v>9.2080184526069309E-2</c:v>
                </c:pt>
                <c:pt idx="109">
                  <c:v>9.1615350212316551E-2</c:v>
                </c:pt>
                <c:pt idx="110">
                  <c:v>9.1122552243988186E-2</c:v>
                </c:pt>
                <c:pt idx="111">
                  <c:v>9.060570632504801E-2</c:v>
                </c:pt>
                <c:pt idx="112">
                  <c:v>9.0067860815394377E-2</c:v>
                </c:pt>
                <c:pt idx="113">
                  <c:v>8.9511444752499128E-2</c:v>
                </c:pt>
                <c:pt idx="114">
                  <c:v>8.8938431402329085E-2</c:v>
                </c:pt>
                <c:pt idx="115">
                  <c:v>8.8350450066381481E-2</c:v>
                </c:pt>
                <c:pt idx="116">
                  <c:v>8.7748864861154185E-2</c:v>
                </c:pt>
                <c:pt idx="117">
                  <c:v>8.7134831673158455E-2</c:v>
                </c:pt>
                <c:pt idx="118">
                  <c:v>8.6509340258986323E-2</c:v>
                </c:pt>
                <c:pt idx="119">
                  <c:v>8.5873245971957946E-2</c:v>
                </c:pt>
                <c:pt idx="120">
                  <c:v>8.5227294080911065E-2</c:v>
                </c:pt>
                <c:pt idx="121">
                  <c:v>8.4572138693486745E-2</c:v>
                </c:pt>
                <c:pt idx="122">
                  <c:v>8.3908357680112858E-2</c:v>
                </c:pt>
                <c:pt idx="123">
                  <c:v>8.3236464586744732E-2</c:v>
                </c:pt>
                <c:pt idx="124">
                  <c:v>8.255691824809433E-2</c:v>
                </c:pt>
                <c:pt idx="125">
                  <c:v>8.1870130622293383E-2</c:v>
                </c:pt>
                <c:pt idx="126">
                  <c:v>8.1176473233855434E-2</c:v>
                </c:pt>
                <c:pt idx="127">
                  <c:v>8.0476282516046799E-2</c:v>
                </c:pt>
                <c:pt idx="128">
                  <c:v>7.9769864274381166E-2</c:v>
                </c:pt>
                <c:pt idx="129">
                  <c:v>7.9057497441981359E-2</c:v>
                </c:pt>
                <c:pt idx="130">
                  <c:v>7.8339437259647288E-2</c:v>
                </c:pt>
                <c:pt idx="131">
                  <c:v>7.7615917984960162E-2</c:v>
                </c:pt>
                <c:pt idx="132">
                  <c:v>7.688715521308169E-2</c:v>
                </c:pt>
                <c:pt idx="133">
                  <c:v>7.6153347875272767E-2</c:v>
                </c:pt>
                <c:pt idx="134">
                  <c:v>7.5414679968271336E-2</c:v>
                </c:pt>
                <c:pt idx="135">
                  <c:v>7.4671322057601894E-2</c:v>
                </c:pt>
                <c:pt idx="136">
                  <c:v>7.3923432589963395E-2</c:v>
                </c:pt>
                <c:pt idx="137">
                  <c:v>7.3171159043552286E-2</c:v>
                </c:pt>
                <c:pt idx="138">
                  <c:v>7.2414638940154263E-2</c:v>
                </c:pt>
                <c:pt idx="139">
                  <c:v>7.1654000738797213E-2</c:v>
                </c:pt>
                <c:pt idx="140">
                  <c:v>7.0889364627488197E-2</c:v>
                </c:pt>
                <c:pt idx="141">
                  <c:v>7.0120843226896046E-2</c:v>
                </c:pt>
                <c:pt idx="142">
                  <c:v>6.9348542217662984E-2</c:v>
                </c:pt>
                <c:pt idx="143">
                  <c:v>6.857256090123566E-2</c:v>
                </c:pt>
                <c:pt idx="144">
                  <c:v>6.7792992702624441E-2</c:v>
                </c:pt>
                <c:pt idx="145">
                  <c:v>6.700992562226793E-2</c:v>
                </c:pt>
                <c:pt idx="146">
                  <c:v>6.622344264315197E-2</c:v>
                </c:pt>
                <c:pt idx="147">
                  <c:v>6.5433622098470701E-2</c:v>
                </c:pt>
                <c:pt idx="148">
                  <c:v>6.46405380043924E-2</c:v>
                </c:pt>
                <c:pt idx="149">
                  <c:v>6.3844260361879693E-2</c:v>
                </c:pt>
                <c:pt idx="150">
                  <c:v>6.3044855430994737E-2</c:v>
                </c:pt>
                <c:pt idx="151">
                  <c:v>6.224238598067687E-2</c:v>
                </c:pt>
                <c:pt idx="152">
                  <c:v>6.1436911516603264E-2</c:v>
                </c:pt>
                <c:pt idx="153">
                  <c:v>6.062848848941884E-2</c:v>
                </c:pt>
                <c:pt idx="154">
                  <c:v>5.9817170485343789E-2</c:v>
                </c:pt>
                <c:pt idx="155">
                  <c:v>5.9003008400926926E-2</c:v>
                </c:pt>
                <c:pt idx="156">
                  <c:v>5.8186050603505887E-2</c:v>
                </c:pt>
                <c:pt idx="157">
                  <c:v>5.7366343078754996E-2</c:v>
                </c:pt>
                <c:pt idx="158">
                  <c:v>5.6543929566545761E-2</c:v>
                </c:pt>
                <c:pt idx="159">
                  <c:v>5.5718851686207174E-2</c:v>
                </c:pt>
                <c:pt idx="160">
                  <c:v>5.489114905215637E-2</c:v>
                </c:pt>
                <c:pt idx="161">
                  <c:v>5.4060859380762931E-2</c:v>
                </c:pt>
                <c:pt idx="162">
                  <c:v>5.3228018589220605E-2</c:v>
                </c:pt>
                <c:pt idx="163">
                  <c:v>5.2392660887118109E-2</c:v>
                </c:pt>
                <c:pt idx="164">
                  <c:v>5.155481886133053E-2</c:v>
                </c:pt>
                <c:pt idx="165">
                  <c:v>5.0714523554789108E-2</c:v>
                </c:pt>
                <c:pt idx="166">
                  <c:v>4.9871804539632025E-2</c:v>
                </c:pt>
                <c:pt idx="167">
                  <c:v>4.9026689985188839E-2</c:v>
                </c:pt>
                <c:pt idx="168">
                  <c:v>4.8179206721207686E-2</c:v>
                </c:pt>
                <c:pt idx="169">
                  <c:v>4.7329380296694819E-2</c:v>
                </c:pt>
                <c:pt idx="170">
                  <c:v>4.6477235034700956E-2</c:v>
                </c:pt>
                <c:pt idx="171">
                  <c:v>4.5622794083358134E-2</c:v>
                </c:pt>
                <c:pt idx="172">
                  <c:v>4.476607946344191E-2</c:v>
                </c:pt>
                <c:pt idx="173">
                  <c:v>4.3907112112709222E-2</c:v>
                </c:pt>
                <c:pt idx="174">
                  <c:v>4.304591192723925E-2</c:v>
                </c:pt>
                <c:pt idx="175">
                  <c:v>4.2182497799984078E-2</c:v>
                </c:pt>
                <c:pt idx="176">
                  <c:v>4.1316887656717934E-2</c:v>
                </c:pt>
                <c:pt idx="177">
                  <c:v>4.0449098489556648E-2</c:v>
                </c:pt>
                <c:pt idx="178">
                  <c:v>3.9579146388204187E-2</c:v>
                </c:pt>
                <c:pt idx="179">
                  <c:v>3.8707046569069349E-2</c:v>
                </c:pt>
                <c:pt idx="180">
                  <c:v>3.7832813402383161E-2</c:v>
                </c:pt>
                <c:pt idx="181">
                  <c:v>3.6956460437436223E-2</c:v>
                </c:pt>
                <c:pt idx="182">
                  <c:v>3.6078000426044983E-2</c:v>
                </c:pt>
                <c:pt idx="183">
                  <c:v>3.5197445344346247E-2</c:v>
                </c:pt>
                <c:pt idx="184">
                  <c:v>3.4314806413010754E-2</c:v>
                </c:pt>
                <c:pt idx="185">
                  <c:v>3.3430094115958514E-2</c:v>
                </c:pt>
                <c:pt idx="186">
                  <c:v>3.2543318217651426E-2</c:v>
                </c:pt>
                <c:pt idx="187">
                  <c:v>3.1654487779031737E-2</c:v>
                </c:pt>
                <c:pt idx="188">
                  <c:v>3.0763611172168682E-2</c:v>
                </c:pt>
                <c:pt idx="189">
                  <c:v>2.9870696093670001E-2</c:v>
                </c:pt>
                <c:pt idx="190">
                  <c:v>2.8975749576909415E-2</c:v>
                </c:pt>
                <c:pt idx="191">
                  <c:v>2.8078778003116006E-2</c:v>
                </c:pt>
                <c:pt idx="192">
                  <c:v>2.717978711136711E-2</c:v>
                </c:pt>
                <c:pt idx="193">
                  <c:v>2.6278782007521356E-2</c:v>
                </c:pt>
                <c:pt idx="194">
                  <c:v>2.537576717212469E-2</c:v>
                </c:pt>
                <c:pt idx="195">
                  <c:v>2.447074646731795E-2</c:v>
                </c:pt>
                <c:pt idx="196">
                  <c:v>2.3563723142771074E-2</c:v>
                </c:pt>
                <c:pt idx="197">
                  <c:v>2.2654699840664885E-2</c:v>
                </c:pt>
                <c:pt idx="198">
                  <c:v>2.1743678599738466E-2</c:v>
                </c:pt>
                <c:pt idx="199">
                  <c:v>2.0830660858416377E-2</c:v>
                </c:pt>
                <c:pt idx="200">
                  <c:v>1.9915647457026814E-2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438720"/>
        <c:axId val="243440256"/>
      </c:lineChart>
      <c:catAx>
        <c:axId val="2434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3440256"/>
        <c:crosses val="autoZero"/>
        <c:auto val="1"/>
        <c:lblAlgn val="ctr"/>
        <c:lblOffset val="100"/>
        <c:noMultiLvlLbl val="0"/>
      </c:catAx>
      <c:valAx>
        <c:axId val="243440256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24343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9043000874890634"/>
          <c:y val="6.7525153105861768E-2"/>
          <c:w val="0.2095699912510936"/>
          <c:h val="8.371719160104987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cosφ=0,8_(cap)</c:v>
          </c:tx>
          <c:marker>
            <c:symbol val="none"/>
          </c:marker>
          <c:xVal>
            <c:numRef>
              <c:f>'U2=f(cosϕ)'!$E$2:$E$102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'U2=f(cosϕ)'!$I$2:$I$102</c:f>
              <c:numCache>
                <c:formatCode>0.00</c:formatCode>
                <c:ptCount val="101"/>
                <c:pt idx="0" formatCode="General">
                  <c:v>110</c:v>
                </c:pt>
                <c:pt idx="1">
                  <c:v>109.93249135054863</c:v>
                </c:pt>
                <c:pt idx="2" formatCode="General">
                  <c:v>109.86498214860769</c:v>
                </c:pt>
                <c:pt idx="3" formatCode="General">
                  <c:v>109.79747239417719</c:v>
                </c:pt>
                <c:pt idx="4" formatCode="General">
                  <c:v>109.72996208725714</c:v>
                </c:pt>
                <c:pt idx="5" formatCode="General">
                  <c:v>109.66245122784751</c:v>
                </c:pt>
                <c:pt idx="6" formatCode="General">
                  <c:v>109.59493981594834</c:v>
                </c:pt>
                <c:pt idx="7" formatCode="General">
                  <c:v>109.52742785155959</c:v>
                </c:pt>
                <c:pt idx="8" formatCode="General">
                  <c:v>109.4599153346813</c:v>
                </c:pt>
                <c:pt idx="9" formatCode="General">
                  <c:v>109.39240226531344</c:v>
                </c:pt>
                <c:pt idx="10" formatCode="General">
                  <c:v>109.32488864345601</c:v>
                </c:pt>
                <c:pt idx="11" formatCode="General">
                  <c:v>109.25737446910902</c:v>
                </c:pt>
                <c:pt idx="12" formatCode="General">
                  <c:v>109.18985974227247</c:v>
                </c:pt>
                <c:pt idx="13" formatCode="General">
                  <c:v>109.12234446294637</c:v>
                </c:pt>
                <c:pt idx="14" formatCode="General">
                  <c:v>109.0548286311307</c:v>
                </c:pt>
                <c:pt idx="15" formatCode="General">
                  <c:v>108.98731224682547</c:v>
                </c:pt>
                <c:pt idx="16" formatCode="General">
                  <c:v>108.91979531003068</c:v>
                </c:pt>
                <c:pt idx="17" formatCode="General">
                  <c:v>108.85227782074632</c:v>
                </c:pt>
                <c:pt idx="18" formatCode="General">
                  <c:v>108.78475977897241</c:v>
                </c:pt>
                <c:pt idx="19" formatCode="General">
                  <c:v>108.71724118470894</c:v>
                </c:pt>
                <c:pt idx="20" formatCode="General">
                  <c:v>108.64972203795591</c:v>
                </c:pt>
                <c:pt idx="21" formatCode="General">
                  <c:v>108.58220233871332</c:v>
                </c:pt>
                <c:pt idx="22" formatCode="General">
                  <c:v>108.51468208698115</c:v>
                </c:pt>
                <c:pt idx="23" formatCode="General">
                  <c:v>108.44716128275944</c:v>
                </c:pt>
                <c:pt idx="24" formatCode="General">
                  <c:v>108.37963992604816</c:v>
                </c:pt>
                <c:pt idx="25" formatCode="General">
                  <c:v>108.31211801684731</c:v>
                </c:pt>
                <c:pt idx="26" formatCode="General">
                  <c:v>108.24459555515691</c:v>
                </c:pt>
                <c:pt idx="27" formatCode="General">
                  <c:v>108.17707254097695</c:v>
                </c:pt>
                <c:pt idx="28" formatCode="General">
                  <c:v>108.10954897430743</c:v>
                </c:pt>
                <c:pt idx="29" formatCode="General">
                  <c:v>108.04202485514834</c:v>
                </c:pt>
                <c:pt idx="30" formatCode="General">
                  <c:v>107.9745001834997</c:v>
                </c:pt>
                <c:pt idx="31" formatCode="General">
                  <c:v>107.90697495936149</c:v>
                </c:pt>
                <c:pt idx="32" formatCode="General">
                  <c:v>107.83944918273372</c:v>
                </c:pt>
                <c:pt idx="33" formatCode="General">
                  <c:v>107.77192285361639</c:v>
                </c:pt>
                <c:pt idx="34" formatCode="General">
                  <c:v>107.70439597200949</c:v>
                </c:pt>
                <c:pt idx="35" formatCode="General">
                  <c:v>107.63686853791305</c:v>
                </c:pt>
                <c:pt idx="36" formatCode="General">
                  <c:v>107.56934055132703</c:v>
                </c:pt>
                <c:pt idx="37" formatCode="General">
                  <c:v>107.50181201225146</c:v>
                </c:pt>
                <c:pt idx="38" formatCode="General">
                  <c:v>107.43428292068633</c:v>
                </c:pt>
                <c:pt idx="39" formatCode="General">
                  <c:v>107.36675327663163</c:v>
                </c:pt>
                <c:pt idx="40" formatCode="General">
                  <c:v>107.29922308008737</c:v>
                </c:pt>
                <c:pt idx="41" formatCode="General">
                  <c:v>107.23169233105355</c:v>
                </c:pt>
                <c:pt idx="42" formatCode="General">
                  <c:v>107.16416102953018</c:v>
                </c:pt>
                <c:pt idx="43" formatCode="General">
                  <c:v>107.09662917551724</c:v>
                </c:pt>
                <c:pt idx="44" formatCode="General">
                  <c:v>107.02909676901473</c:v>
                </c:pt>
                <c:pt idx="45" formatCode="General">
                  <c:v>106.96156381002267</c:v>
                </c:pt>
                <c:pt idx="46" formatCode="General">
                  <c:v>106.89403029854105</c:v>
                </c:pt>
                <c:pt idx="47" formatCode="General">
                  <c:v>106.82649623456986</c:v>
                </c:pt>
                <c:pt idx="48" formatCode="General">
                  <c:v>106.75896161810913</c:v>
                </c:pt>
                <c:pt idx="49" formatCode="General">
                  <c:v>106.69142644915881</c:v>
                </c:pt>
                <c:pt idx="50" formatCode="General">
                  <c:v>106.62389072771894</c:v>
                </c:pt>
                <c:pt idx="51" formatCode="General">
                  <c:v>106.55635445378951</c:v>
                </c:pt>
                <c:pt idx="52" formatCode="General">
                  <c:v>106.48881762737052</c:v>
                </c:pt>
                <c:pt idx="53" formatCode="General">
                  <c:v>106.42128024846197</c:v>
                </c:pt>
                <c:pt idx="54" formatCode="General">
                  <c:v>106.35374231706386</c:v>
                </c:pt>
                <c:pt idx="55" formatCode="General">
                  <c:v>106.28620383317619</c:v>
                </c:pt>
                <c:pt idx="56" formatCode="General">
                  <c:v>106.21866479679896</c:v>
                </c:pt>
                <c:pt idx="57" formatCode="General">
                  <c:v>106.15112520793215</c:v>
                </c:pt>
                <c:pt idx="58" formatCode="General">
                  <c:v>106.08358506657581</c:v>
                </c:pt>
                <c:pt idx="59" formatCode="General">
                  <c:v>106.01604437272988</c:v>
                </c:pt>
                <c:pt idx="60" formatCode="General">
                  <c:v>105.9485031263944</c:v>
                </c:pt>
                <c:pt idx="61" formatCode="General">
                  <c:v>105.88096132756937</c:v>
                </c:pt>
                <c:pt idx="62" formatCode="General">
                  <c:v>105.81341897625477</c:v>
                </c:pt>
                <c:pt idx="63" formatCode="General">
                  <c:v>105.7458760724506</c:v>
                </c:pt>
                <c:pt idx="64" formatCode="General">
                  <c:v>105.67833261615688</c:v>
                </c:pt>
                <c:pt idx="65" formatCode="General">
                  <c:v>105.61078860737359</c:v>
                </c:pt>
                <c:pt idx="66" formatCode="General">
                  <c:v>105.54324404610075</c:v>
                </c:pt>
                <c:pt idx="67" formatCode="General">
                  <c:v>105.47569893233835</c:v>
                </c:pt>
                <c:pt idx="68" formatCode="General">
                  <c:v>105.40815326608637</c:v>
                </c:pt>
                <c:pt idx="69" formatCode="General">
                  <c:v>105.34060704734485</c:v>
                </c:pt>
                <c:pt idx="70" formatCode="General">
                  <c:v>105.27306027611375</c:v>
                </c:pt>
                <c:pt idx="71" formatCode="General">
                  <c:v>105.20551295239311</c:v>
                </c:pt>
                <c:pt idx="72" formatCode="General">
                  <c:v>105.13796507618289</c:v>
                </c:pt>
                <c:pt idx="73" formatCode="General">
                  <c:v>105.07041664748313</c:v>
                </c:pt>
                <c:pt idx="74" formatCode="General">
                  <c:v>105.0028676662938</c:v>
                </c:pt>
                <c:pt idx="75" formatCode="General">
                  <c:v>104.9353181326149</c:v>
                </c:pt>
                <c:pt idx="76" formatCode="General">
                  <c:v>104.86776804644644</c:v>
                </c:pt>
                <c:pt idx="77" formatCode="General">
                  <c:v>104.80021740778842</c:v>
                </c:pt>
                <c:pt idx="78" formatCode="General">
                  <c:v>104.73266621664084</c:v>
                </c:pt>
                <c:pt idx="79" formatCode="General">
                  <c:v>104.6651144730037</c:v>
                </c:pt>
                <c:pt idx="80" formatCode="General">
                  <c:v>104.59756217687701</c:v>
                </c:pt>
                <c:pt idx="81" formatCode="General">
                  <c:v>104.53000932826075</c:v>
                </c:pt>
                <c:pt idx="82" formatCode="General">
                  <c:v>104.46245592715492</c:v>
                </c:pt>
                <c:pt idx="83" formatCode="General">
                  <c:v>104.39490197355954</c:v>
                </c:pt>
                <c:pt idx="84" formatCode="General">
                  <c:v>104.3273474674746</c:v>
                </c:pt>
                <c:pt idx="85" formatCode="General">
                  <c:v>104.25979240890008</c:v>
                </c:pt>
                <c:pt idx="86" formatCode="General">
                  <c:v>104.19223679783602</c:v>
                </c:pt>
                <c:pt idx="87" formatCode="General">
                  <c:v>104.12468063428238</c:v>
                </c:pt>
                <c:pt idx="88" formatCode="General">
                  <c:v>104.0571239182392</c:v>
                </c:pt>
                <c:pt idx="89" formatCode="General">
                  <c:v>103.98956664970645</c:v>
                </c:pt>
                <c:pt idx="90" formatCode="General">
                  <c:v>103.92200882868414</c:v>
                </c:pt>
                <c:pt idx="91" formatCode="General">
                  <c:v>103.85445045517227</c:v>
                </c:pt>
                <c:pt idx="92" formatCode="General">
                  <c:v>103.78689152917083</c:v>
                </c:pt>
                <c:pt idx="93" formatCode="General">
                  <c:v>103.71933205067984</c:v>
                </c:pt>
                <c:pt idx="94" formatCode="General">
                  <c:v>103.65177201969928</c:v>
                </c:pt>
                <c:pt idx="95" formatCode="General">
                  <c:v>103.58421143622917</c:v>
                </c:pt>
                <c:pt idx="96" formatCode="General">
                  <c:v>103.51665030026949</c:v>
                </c:pt>
                <c:pt idx="97" formatCode="General">
                  <c:v>103.44908861182024</c:v>
                </c:pt>
                <c:pt idx="98" formatCode="General">
                  <c:v>103.38152637088145</c:v>
                </c:pt>
                <c:pt idx="99" formatCode="General">
                  <c:v>103.31396357745308</c:v>
                </c:pt>
                <c:pt idx="100" formatCode="General">
                  <c:v>103.24640023153516</c:v>
                </c:pt>
              </c:numCache>
            </c:numRef>
          </c:yVal>
          <c:smooth val="1"/>
        </c:ser>
        <c:ser>
          <c:idx val="1"/>
          <c:order val="1"/>
          <c:tx>
            <c:v>cosφ=1</c:v>
          </c:tx>
          <c:marker>
            <c:symbol val="none"/>
          </c:marker>
          <c:xVal>
            <c:numRef>
              <c:f>'U2=f(cosϕ)'!$E$2:$E$102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'U2=f(cosϕ)'!$J$2:$J$102</c:f>
              <c:numCache>
                <c:formatCode>General</c:formatCode>
                <c:ptCount val="101"/>
                <c:pt idx="0">
                  <c:v>110</c:v>
                </c:pt>
                <c:pt idx="1">
                  <c:v>109.89921872827703</c:v>
                </c:pt>
                <c:pt idx="2">
                  <c:v>109.79843741310813</c:v>
                </c:pt>
                <c:pt idx="3">
                  <c:v>109.69765605449329</c:v>
                </c:pt>
                <c:pt idx="4">
                  <c:v>109.59687465243253</c:v>
                </c:pt>
                <c:pt idx="5">
                  <c:v>109.49609320692582</c:v>
                </c:pt>
                <c:pt idx="6">
                  <c:v>109.39531171797319</c:v>
                </c:pt>
                <c:pt idx="7">
                  <c:v>109.29453018557462</c:v>
                </c:pt>
                <c:pt idx="8">
                  <c:v>109.19374860973011</c:v>
                </c:pt>
                <c:pt idx="9">
                  <c:v>109.09296699043968</c:v>
                </c:pt>
                <c:pt idx="10">
                  <c:v>108.9921853277033</c:v>
                </c:pt>
                <c:pt idx="11">
                  <c:v>108.89140362152099</c:v>
                </c:pt>
                <c:pt idx="12">
                  <c:v>108.79062187189275</c:v>
                </c:pt>
                <c:pt idx="13">
                  <c:v>108.68984007881858</c:v>
                </c:pt>
                <c:pt idx="14">
                  <c:v>108.58905824229848</c:v>
                </c:pt>
                <c:pt idx="15">
                  <c:v>108.48827636233243</c:v>
                </c:pt>
                <c:pt idx="16">
                  <c:v>108.38749443892046</c:v>
                </c:pt>
                <c:pt idx="17">
                  <c:v>108.28671247206255</c:v>
                </c:pt>
                <c:pt idx="18">
                  <c:v>108.1859304617587</c:v>
                </c:pt>
                <c:pt idx="19">
                  <c:v>108.08514840800892</c:v>
                </c:pt>
                <c:pt idx="20">
                  <c:v>107.98436631081321</c:v>
                </c:pt>
                <c:pt idx="21">
                  <c:v>107.88358417017156</c:v>
                </c:pt>
                <c:pt idx="22">
                  <c:v>107.78280198608398</c:v>
                </c:pt>
                <c:pt idx="23">
                  <c:v>107.68201975855047</c:v>
                </c:pt>
                <c:pt idx="24">
                  <c:v>107.58123748757102</c:v>
                </c:pt>
                <c:pt idx="25">
                  <c:v>107.48045517314564</c:v>
                </c:pt>
                <c:pt idx="26">
                  <c:v>107.37967281527432</c:v>
                </c:pt>
                <c:pt idx="27">
                  <c:v>107.27889041395707</c:v>
                </c:pt>
                <c:pt idx="28">
                  <c:v>107.17810796919389</c:v>
                </c:pt>
                <c:pt idx="29">
                  <c:v>107.07732548098477</c:v>
                </c:pt>
                <c:pt idx="30">
                  <c:v>106.97654294932973</c:v>
                </c:pt>
                <c:pt idx="31">
                  <c:v>106.87576037422873</c:v>
                </c:pt>
                <c:pt idx="32">
                  <c:v>106.77497775568182</c:v>
                </c:pt>
                <c:pt idx="33">
                  <c:v>106.67419509368897</c:v>
                </c:pt>
                <c:pt idx="34">
                  <c:v>106.57341238825018</c:v>
                </c:pt>
                <c:pt idx="35">
                  <c:v>106.47262963936545</c:v>
                </c:pt>
                <c:pt idx="36">
                  <c:v>106.3718468470348</c:v>
                </c:pt>
                <c:pt idx="37">
                  <c:v>106.27106401125822</c:v>
                </c:pt>
                <c:pt idx="38">
                  <c:v>106.17028113203568</c:v>
                </c:pt>
                <c:pt idx="39">
                  <c:v>106.06949820936723</c:v>
                </c:pt>
                <c:pt idx="40">
                  <c:v>105.96871524325284</c:v>
                </c:pt>
                <c:pt idx="41">
                  <c:v>105.86793223369251</c:v>
                </c:pt>
                <c:pt idx="42">
                  <c:v>105.76714918068626</c:v>
                </c:pt>
                <c:pt idx="43">
                  <c:v>105.66636608423407</c:v>
                </c:pt>
                <c:pt idx="44">
                  <c:v>105.56558294433594</c:v>
                </c:pt>
                <c:pt idx="45">
                  <c:v>105.46479976099188</c:v>
                </c:pt>
                <c:pt idx="46">
                  <c:v>105.36401653420188</c:v>
                </c:pt>
                <c:pt idx="47">
                  <c:v>105.26323326396596</c:v>
                </c:pt>
                <c:pt idx="48">
                  <c:v>105.16244995028408</c:v>
                </c:pt>
                <c:pt idx="49">
                  <c:v>105.06166659315629</c:v>
                </c:pt>
                <c:pt idx="50">
                  <c:v>104.96088319258257</c:v>
                </c:pt>
                <c:pt idx="51">
                  <c:v>104.8600997485629</c:v>
                </c:pt>
                <c:pt idx="52">
                  <c:v>104.7593162610973</c:v>
                </c:pt>
                <c:pt idx="53">
                  <c:v>104.65853273018577</c:v>
                </c:pt>
                <c:pt idx="54">
                  <c:v>104.5577491558283</c:v>
                </c:pt>
                <c:pt idx="55">
                  <c:v>104.4569655380249</c:v>
                </c:pt>
                <c:pt idx="56">
                  <c:v>104.35618187677557</c:v>
                </c:pt>
                <c:pt idx="57">
                  <c:v>104.25539817208031</c:v>
                </c:pt>
                <c:pt idx="58">
                  <c:v>104.15461442393909</c:v>
                </c:pt>
                <c:pt idx="59">
                  <c:v>104.05383063235196</c:v>
                </c:pt>
                <c:pt idx="60">
                  <c:v>103.95304679731889</c:v>
                </c:pt>
                <c:pt idx="61">
                  <c:v>103.85226291883988</c:v>
                </c:pt>
                <c:pt idx="62">
                  <c:v>103.75147899691495</c:v>
                </c:pt>
                <c:pt idx="63">
                  <c:v>103.65069503154407</c:v>
                </c:pt>
                <c:pt idx="64">
                  <c:v>103.54991102272727</c:v>
                </c:pt>
                <c:pt idx="65">
                  <c:v>103.44912697046453</c:v>
                </c:pt>
                <c:pt idx="66">
                  <c:v>103.34834287475586</c:v>
                </c:pt>
                <c:pt idx="67">
                  <c:v>103.24755873560125</c:v>
                </c:pt>
                <c:pt idx="68">
                  <c:v>103.14677455300071</c:v>
                </c:pt>
                <c:pt idx="69">
                  <c:v>103.04599032695424</c:v>
                </c:pt>
                <c:pt idx="70">
                  <c:v>102.94520605746183</c:v>
                </c:pt>
                <c:pt idx="71">
                  <c:v>102.84442174452349</c:v>
                </c:pt>
                <c:pt idx="72">
                  <c:v>102.74363738813921</c:v>
                </c:pt>
                <c:pt idx="73">
                  <c:v>102.64285298830899</c:v>
                </c:pt>
                <c:pt idx="74">
                  <c:v>102.54206854503285</c:v>
                </c:pt>
                <c:pt idx="75">
                  <c:v>102.44128405831077</c:v>
                </c:pt>
                <c:pt idx="76">
                  <c:v>102.34049952814276</c:v>
                </c:pt>
                <c:pt idx="77">
                  <c:v>102.23971495452881</c:v>
                </c:pt>
                <c:pt idx="78">
                  <c:v>102.13893033746893</c:v>
                </c:pt>
                <c:pt idx="79">
                  <c:v>102.03814567696311</c:v>
                </c:pt>
                <c:pt idx="80">
                  <c:v>101.93736097301137</c:v>
                </c:pt>
                <c:pt idx="81">
                  <c:v>101.83657622561368</c:v>
                </c:pt>
                <c:pt idx="82">
                  <c:v>101.73579143477006</c:v>
                </c:pt>
                <c:pt idx="83">
                  <c:v>101.63500660048051</c:v>
                </c:pt>
                <c:pt idx="84">
                  <c:v>101.53422172274503</c:v>
                </c:pt>
                <c:pt idx="85">
                  <c:v>101.43343680156362</c:v>
                </c:pt>
                <c:pt idx="86">
                  <c:v>101.33265183693626</c:v>
                </c:pt>
                <c:pt idx="87">
                  <c:v>101.23186682886298</c:v>
                </c:pt>
                <c:pt idx="88">
                  <c:v>101.13108177734375</c:v>
                </c:pt>
                <c:pt idx="89">
                  <c:v>101.03029668237859</c:v>
                </c:pt>
                <c:pt idx="90">
                  <c:v>100.92951154396751</c:v>
                </c:pt>
                <c:pt idx="91">
                  <c:v>100.82872636211049</c:v>
                </c:pt>
                <c:pt idx="92">
                  <c:v>100.72794113680753</c:v>
                </c:pt>
                <c:pt idx="93">
                  <c:v>100.62715586805864</c:v>
                </c:pt>
                <c:pt idx="94">
                  <c:v>100.52637055586382</c:v>
                </c:pt>
                <c:pt idx="95">
                  <c:v>100.42558520022305</c:v>
                </c:pt>
                <c:pt idx="96">
                  <c:v>100.32479980113636</c:v>
                </c:pt>
                <c:pt idx="97">
                  <c:v>100.22401435860374</c:v>
                </c:pt>
                <c:pt idx="98">
                  <c:v>100.12322887262518</c:v>
                </c:pt>
                <c:pt idx="99">
                  <c:v>100.02244334320068</c:v>
                </c:pt>
                <c:pt idx="100">
                  <c:v>99.921657770330256</c:v>
                </c:pt>
              </c:numCache>
            </c:numRef>
          </c:yVal>
          <c:smooth val="1"/>
        </c:ser>
        <c:ser>
          <c:idx val="2"/>
          <c:order val="2"/>
          <c:tx>
            <c:v>cosφ=0,8_(ind)</c:v>
          </c:tx>
          <c:marker>
            <c:symbol val="none"/>
          </c:marker>
          <c:xVal>
            <c:numRef>
              <c:f>'U2=f(cosϕ)'!$E$2:$E$102</c:f>
              <c:numCache>
                <c:formatCode>General</c:formatCode>
                <c:ptCount val="1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</c:numCache>
            </c:numRef>
          </c:xVal>
          <c:yVal>
            <c:numRef>
              <c:f>'U2=f(cosϕ)'!$K$2:$K$102</c:f>
              <c:numCache>
                <c:formatCode>General</c:formatCode>
                <c:ptCount val="101"/>
                <c:pt idx="0">
                  <c:v>110</c:v>
                </c:pt>
                <c:pt idx="1">
                  <c:v>109.90625828923964</c:v>
                </c:pt>
                <c:pt idx="2">
                  <c:v>109.81251641054537</c:v>
                </c:pt>
                <c:pt idx="3">
                  <c:v>109.71877436391718</c:v>
                </c:pt>
                <c:pt idx="4">
                  <c:v>109.62503214935508</c:v>
                </c:pt>
                <c:pt idx="5">
                  <c:v>109.53128976685908</c:v>
                </c:pt>
                <c:pt idx="6">
                  <c:v>109.43754721642915</c:v>
                </c:pt>
                <c:pt idx="7">
                  <c:v>109.34380449806531</c:v>
                </c:pt>
                <c:pt idx="8">
                  <c:v>109.25006161176756</c:v>
                </c:pt>
                <c:pt idx="9">
                  <c:v>109.15631855753591</c:v>
                </c:pt>
                <c:pt idx="10">
                  <c:v>109.06257533537034</c:v>
                </c:pt>
                <c:pt idx="11">
                  <c:v>108.96883194527086</c:v>
                </c:pt>
                <c:pt idx="12">
                  <c:v>108.87508838723747</c:v>
                </c:pt>
                <c:pt idx="13">
                  <c:v>108.78134466127017</c:v>
                </c:pt>
                <c:pt idx="14">
                  <c:v>108.68760076736895</c:v>
                </c:pt>
                <c:pt idx="15">
                  <c:v>108.59385670553382</c:v>
                </c:pt>
                <c:pt idx="16">
                  <c:v>108.50011247576478</c:v>
                </c:pt>
                <c:pt idx="17">
                  <c:v>108.40636807806182</c:v>
                </c:pt>
                <c:pt idx="18">
                  <c:v>108.31262351242496</c:v>
                </c:pt>
                <c:pt idx="19">
                  <c:v>108.21887877885418</c:v>
                </c:pt>
                <c:pt idx="20">
                  <c:v>108.1251338773495</c:v>
                </c:pt>
                <c:pt idx="21">
                  <c:v>108.03138880791089</c:v>
                </c:pt>
                <c:pt idx="22">
                  <c:v>107.93764357053838</c:v>
                </c:pt>
                <c:pt idx="23">
                  <c:v>107.84389816523196</c:v>
                </c:pt>
                <c:pt idx="24">
                  <c:v>107.75015259199162</c:v>
                </c:pt>
                <c:pt idx="25">
                  <c:v>107.65640685081738</c:v>
                </c:pt>
                <c:pt idx="26">
                  <c:v>107.56266094170921</c:v>
                </c:pt>
                <c:pt idx="27">
                  <c:v>107.46891486466714</c:v>
                </c:pt>
                <c:pt idx="28">
                  <c:v>107.37516861969115</c:v>
                </c:pt>
                <c:pt idx="29">
                  <c:v>107.28142220678126</c:v>
                </c:pt>
                <c:pt idx="30">
                  <c:v>107.18767562593746</c:v>
                </c:pt>
                <c:pt idx="31">
                  <c:v>107.09392887715973</c:v>
                </c:pt>
                <c:pt idx="32">
                  <c:v>107.0001819604481</c:v>
                </c:pt>
                <c:pt idx="33">
                  <c:v>106.90643487580256</c:v>
                </c:pt>
                <c:pt idx="34">
                  <c:v>106.8126876232231</c:v>
                </c:pt>
                <c:pt idx="35">
                  <c:v>106.71894020270973</c:v>
                </c:pt>
                <c:pt idx="36">
                  <c:v>106.62519261426246</c:v>
                </c:pt>
                <c:pt idx="37">
                  <c:v>106.53144485788127</c:v>
                </c:pt>
                <c:pt idx="38">
                  <c:v>106.43769693356616</c:v>
                </c:pt>
                <c:pt idx="39">
                  <c:v>106.34394884131714</c:v>
                </c:pt>
                <c:pt idx="40">
                  <c:v>106.25020058113422</c:v>
                </c:pt>
                <c:pt idx="41">
                  <c:v>106.15645215301738</c:v>
                </c:pt>
                <c:pt idx="42">
                  <c:v>106.06270355696662</c:v>
                </c:pt>
                <c:pt idx="43">
                  <c:v>105.96895479298196</c:v>
                </c:pt>
                <c:pt idx="44">
                  <c:v>105.87520586106339</c:v>
                </c:pt>
                <c:pt idx="45">
                  <c:v>105.7814567612109</c:v>
                </c:pt>
                <c:pt idx="46">
                  <c:v>105.68770749342451</c:v>
                </c:pt>
                <c:pt idx="47">
                  <c:v>105.5939580577042</c:v>
                </c:pt>
                <c:pt idx="48">
                  <c:v>105.50020845404997</c:v>
                </c:pt>
                <c:pt idx="49">
                  <c:v>105.40645868246183</c:v>
                </c:pt>
                <c:pt idx="50">
                  <c:v>105.31270874293979</c:v>
                </c:pt>
                <c:pt idx="51">
                  <c:v>105.21895863548383</c:v>
                </c:pt>
                <c:pt idx="52">
                  <c:v>105.12520836009396</c:v>
                </c:pt>
                <c:pt idx="53">
                  <c:v>105.03145791677018</c:v>
                </c:pt>
                <c:pt idx="54">
                  <c:v>104.93770730551249</c:v>
                </c:pt>
                <c:pt idx="55">
                  <c:v>104.84395652632088</c:v>
                </c:pt>
                <c:pt idx="56">
                  <c:v>104.75020557919537</c:v>
                </c:pt>
                <c:pt idx="57">
                  <c:v>104.65645446413593</c:v>
                </c:pt>
                <c:pt idx="58">
                  <c:v>104.5627031811426</c:v>
                </c:pt>
                <c:pt idx="59">
                  <c:v>104.46895173021534</c:v>
                </c:pt>
                <c:pt idx="60">
                  <c:v>104.37520011135418</c:v>
                </c:pt>
                <c:pt idx="61">
                  <c:v>104.28144832455909</c:v>
                </c:pt>
                <c:pt idx="62">
                  <c:v>104.18769636983011</c:v>
                </c:pt>
                <c:pt idx="63">
                  <c:v>104.0939442471672</c:v>
                </c:pt>
                <c:pt idx="64">
                  <c:v>104.00019195657039</c:v>
                </c:pt>
                <c:pt idx="65">
                  <c:v>103.90643949803967</c:v>
                </c:pt>
                <c:pt idx="66">
                  <c:v>103.81268687157502</c:v>
                </c:pt>
                <c:pt idx="67">
                  <c:v>103.71893407717648</c:v>
                </c:pt>
                <c:pt idx="68">
                  <c:v>103.62518111484403</c:v>
                </c:pt>
                <c:pt idx="69">
                  <c:v>103.53142798457765</c:v>
                </c:pt>
                <c:pt idx="70">
                  <c:v>103.43767468637736</c:v>
                </c:pt>
                <c:pt idx="71">
                  <c:v>103.34392122024317</c:v>
                </c:pt>
                <c:pt idx="72">
                  <c:v>103.25016758617505</c:v>
                </c:pt>
                <c:pt idx="73">
                  <c:v>103.15641378417304</c:v>
                </c:pt>
                <c:pt idx="74">
                  <c:v>103.06265981423711</c:v>
                </c:pt>
                <c:pt idx="75">
                  <c:v>102.96890567636726</c:v>
                </c:pt>
                <c:pt idx="76">
                  <c:v>102.8751513705635</c:v>
                </c:pt>
                <c:pt idx="77">
                  <c:v>102.78139689682584</c:v>
                </c:pt>
                <c:pt idx="78">
                  <c:v>102.68764225515426</c:v>
                </c:pt>
                <c:pt idx="79">
                  <c:v>102.59388744554876</c:v>
                </c:pt>
                <c:pt idx="80">
                  <c:v>102.50013246800935</c:v>
                </c:pt>
                <c:pt idx="81">
                  <c:v>102.40637732253604</c:v>
                </c:pt>
                <c:pt idx="82">
                  <c:v>102.31262200912882</c:v>
                </c:pt>
                <c:pt idx="83">
                  <c:v>102.21886652778768</c:v>
                </c:pt>
                <c:pt idx="84">
                  <c:v>102.12511087851263</c:v>
                </c:pt>
                <c:pt idx="85">
                  <c:v>102.03135506130366</c:v>
                </c:pt>
                <c:pt idx="86">
                  <c:v>101.93759907616079</c:v>
                </c:pt>
                <c:pt idx="87">
                  <c:v>101.843842923084</c:v>
                </c:pt>
                <c:pt idx="88">
                  <c:v>101.75008660207331</c:v>
                </c:pt>
                <c:pt idx="89">
                  <c:v>101.65633011312869</c:v>
                </c:pt>
                <c:pt idx="90">
                  <c:v>101.56257345625016</c:v>
                </c:pt>
                <c:pt idx="91">
                  <c:v>101.46881663143773</c:v>
                </c:pt>
                <c:pt idx="92">
                  <c:v>101.37505963869138</c:v>
                </c:pt>
                <c:pt idx="93">
                  <c:v>101.28130247801113</c:v>
                </c:pt>
                <c:pt idx="94">
                  <c:v>101.18754514939695</c:v>
                </c:pt>
                <c:pt idx="95">
                  <c:v>101.09378765284887</c:v>
                </c:pt>
                <c:pt idx="96">
                  <c:v>101.00002998836688</c:v>
                </c:pt>
                <c:pt idx="97">
                  <c:v>100.90627215595097</c:v>
                </c:pt>
                <c:pt idx="98">
                  <c:v>100.81251415560115</c:v>
                </c:pt>
                <c:pt idx="99">
                  <c:v>100.71875598731742</c:v>
                </c:pt>
                <c:pt idx="100">
                  <c:v>100.62499765109979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3512064"/>
        <c:axId val="243513600"/>
      </c:scatterChart>
      <c:valAx>
        <c:axId val="24351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3513600"/>
        <c:crosses val="autoZero"/>
        <c:crossBetween val="midCat"/>
      </c:valAx>
      <c:valAx>
        <c:axId val="243513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35120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361950</xdr:colOff>
      <xdr:row>11</xdr:row>
      <xdr:rowOff>57150</xdr:rowOff>
    </xdr:from>
    <xdr:ext cx="914400" cy="264560"/>
    <xdr:sp macro="" textlink="">
      <xdr:nvSpPr>
        <xdr:cNvPr id="2" name="TextBox 1"/>
        <xdr:cNvSpPr txBox="1"/>
      </xdr:nvSpPr>
      <xdr:spPr>
        <a:xfrm>
          <a:off x="7067550" y="2724150"/>
          <a:ext cx="9144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rtlCol="0" anchor="t">
          <a:spAutoFit/>
        </a:bodyPr>
        <a:lstStyle/>
        <a:p>
          <a:endParaRPr lang="sr-Latn-BA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</xdr:colOff>
      <xdr:row>1</xdr:row>
      <xdr:rowOff>0</xdr:rowOff>
    </xdr:from>
    <xdr:to>
      <xdr:col>17</xdr:col>
      <xdr:colOff>371475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</xdr:colOff>
      <xdr:row>15</xdr:row>
      <xdr:rowOff>133350</xdr:rowOff>
    </xdr:from>
    <xdr:to>
      <xdr:col>17</xdr:col>
      <xdr:colOff>352425</xdr:colOff>
      <xdr:row>30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76200</xdr:colOff>
      <xdr:row>30</xdr:row>
      <xdr:rowOff>95250</xdr:rowOff>
    </xdr:from>
    <xdr:to>
      <xdr:col>17</xdr:col>
      <xdr:colOff>381000</xdr:colOff>
      <xdr:row>44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19050</xdr:colOff>
      <xdr:row>1</xdr:row>
      <xdr:rowOff>28575</xdr:rowOff>
    </xdr:from>
    <xdr:to>
      <xdr:col>19</xdr:col>
      <xdr:colOff>323850</xdr:colOff>
      <xdr:row>15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4"/>
  <sheetViews>
    <sheetView topLeftCell="B1" workbookViewId="0">
      <selection activeCell="Q20" sqref="Q20"/>
    </sheetView>
  </sheetViews>
  <sheetFormatPr defaultRowHeight="15" x14ac:dyDescent="0.25"/>
  <cols>
    <col min="1" max="1" width="6.7109375" bestFit="1" customWidth="1"/>
    <col min="2" max="2" width="7.28515625" customWidth="1"/>
    <col min="3" max="3" width="3.28515625" bestFit="1" customWidth="1"/>
    <col min="4" max="4" width="6" bestFit="1" customWidth="1"/>
    <col min="5" max="5" width="4" bestFit="1" customWidth="1"/>
    <col min="6" max="6" width="2.28515625" bestFit="1" customWidth="1"/>
    <col min="7" max="7" width="4" bestFit="1" customWidth="1"/>
    <col min="8" max="8" width="5" bestFit="1" customWidth="1"/>
    <col min="9" max="9" width="2.28515625" bestFit="1" customWidth="1"/>
    <col min="10" max="11" width="5" bestFit="1" customWidth="1"/>
    <col min="12" max="12" width="2.28515625" bestFit="1" customWidth="1"/>
    <col min="13" max="14" width="5" bestFit="1" customWidth="1"/>
    <col min="15" max="15" width="2.28515625" bestFit="1" customWidth="1"/>
    <col min="16" max="25" width="7.140625" customWidth="1"/>
    <col min="26" max="26" width="5.140625" customWidth="1"/>
  </cols>
  <sheetData>
    <row r="1" spans="1:26" x14ac:dyDescent="0.25">
      <c r="A1" s="57" t="s">
        <v>0</v>
      </c>
      <c r="B1" s="59" t="s">
        <v>1</v>
      </c>
      <c r="C1" s="59"/>
      <c r="D1" s="59"/>
      <c r="E1" s="59" t="s">
        <v>2</v>
      </c>
      <c r="F1" s="59"/>
      <c r="G1" s="59"/>
      <c r="H1" s="59" t="s">
        <v>10</v>
      </c>
      <c r="I1" s="59"/>
      <c r="J1" s="59"/>
      <c r="K1" s="59" t="s">
        <v>3</v>
      </c>
      <c r="L1" s="59"/>
      <c r="M1" s="59"/>
      <c r="N1" s="59" t="s">
        <v>4</v>
      </c>
      <c r="O1" s="59"/>
      <c r="P1" s="59"/>
      <c r="Q1" s="59" t="s">
        <v>5</v>
      </c>
      <c r="R1" s="59"/>
      <c r="S1" s="59"/>
      <c r="T1" s="59" t="s">
        <v>6</v>
      </c>
      <c r="U1" s="59"/>
      <c r="V1" s="59"/>
      <c r="W1" s="59" t="s">
        <v>7</v>
      </c>
      <c r="X1" s="59"/>
      <c r="Y1" s="59"/>
    </row>
    <row r="2" spans="1:26" x14ac:dyDescent="0.25">
      <c r="A2" s="58"/>
      <c r="B2" s="42" t="s">
        <v>8</v>
      </c>
      <c r="C2" s="42" t="s">
        <v>9</v>
      </c>
      <c r="D2" s="42"/>
      <c r="E2" s="42" t="s">
        <v>8</v>
      </c>
      <c r="F2" s="42" t="s">
        <v>9</v>
      </c>
      <c r="G2" s="42"/>
      <c r="H2" s="42" t="s">
        <v>8</v>
      </c>
      <c r="I2" s="42" t="s">
        <v>9</v>
      </c>
      <c r="J2" s="42"/>
      <c r="K2" s="42" t="s">
        <v>8</v>
      </c>
      <c r="L2" s="42" t="s">
        <v>9</v>
      </c>
      <c r="M2" s="42"/>
      <c r="N2" s="42" t="s">
        <v>8</v>
      </c>
      <c r="O2" s="42" t="s">
        <v>9</v>
      </c>
      <c r="P2" s="42"/>
      <c r="Q2" s="42" t="s">
        <v>8</v>
      </c>
      <c r="R2" s="42" t="s">
        <v>9</v>
      </c>
      <c r="S2" s="42"/>
      <c r="T2" s="42" t="s">
        <v>8</v>
      </c>
      <c r="U2" s="42" t="s">
        <v>9</v>
      </c>
      <c r="V2" s="42"/>
      <c r="W2" s="42" t="s">
        <v>8</v>
      </c>
      <c r="X2" s="42" t="s">
        <v>9</v>
      </c>
      <c r="Y2" s="42"/>
    </row>
    <row r="3" spans="1:26" x14ac:dyDescent="0.25">
      <c r="A3" s="42">
        <v>1</v>
      </c>
      <c r="B3" s="43">
        <v>11.6</v>
      </c>
      <c r="C3" s="43">
        <v>1</v>
      </c>
      <c r="D3" s="18">
        <f>B3*C3</f>
        <v>11.6</v>
      </c>
      <c r="E3" s="44">
        <v>210</v>
      </c>
      <c r="F3" s="44">
        <v>1</v>
      </c>
      <c r="G3" s="18">
        <f>E3*F3</f>
        <v>210</v>
      </c>
      <c r="H3" s="44">
        <v>20.6</v>
      </c>
      <c r="I3" s="44">
        <v>1</v>
      </c>
      <c r="J3" s="18">
        <f>H3*I3</f>
        <v>20.6</v>
      </c>
      <c r="K3" s="44">
        <v>20.6</v>
      </c>
      <c r="L3" s="44">
        <v>1</v>
      </c>
      <c r="M3" s="18">
        <f>K3*L3</f>
        <v>20.6</v>
      </c>
      <c r="N3" s="44">
        <v>20.6</v>
      </c>
      <c r="O3" s="44">
        <v>1</v>
      </c>
      <c r="P3" s="18">
        <f>N3*O3</f>
        <v>20.6</v>
      </c>
      <c r="Q3" s="44">
        <v>55</v>
      </c>
      <c r="R3" s="44">
        <v>1</v>
      </c>
      <c r="S3" s="18">
        <f>Q3*R3</f>
        <v>55</v>
      </c>
      <c r="T3" s="44">
        <v>0.4</v>
      </c>
      <c r="U3" s="44">
        <v>1</v>
      </c>
      <c r="V3" s="18">
        <f>T3*U3</f>
        <v>0.4</v>
      </c>
      <c r="W3" s="44">
        <v>86</v>
      </c>
      <c r="X3" s="44">
        <v>0.25</v>
      </c>
      <c r="Y3" s="18">
        <f>W3*X3</f>
        <v>21.5</v>
      </c>
      <c r="Z3" s="1"/>
    </row>
    <row r="4" spans="1:26" x14ac:dyDescent="0.25">
      <c r="A4" s="42">
        <v>2</v>
      </c>
      <c r="B4" s="43">
        <v>11.5</v>
      </c>
      <c r="C4" s="43">
        <v>1</v>
      </c>
      <c r="D4" s="18">
        <f t="shared" ref="D4:D12" si="0">B4*C4</f>
        <v>11.5</v>
      </c>
      <c r="E4" s="44">
        <v>190</v>
      </c>
      <c r="F4" s="44">
        <v>1</v>
      </c>
      <c r="G4" s="18">
        <f t="shared" ref="G4:G12" si="1">E4*F4</f>
        <v>190</v>
      </c>
      <c r="H4" s="44">
        <v>23.4</v>
      </c>
      <c r="I4" s="44">
        <v>1</v>
      </c>
      <c r="J4" s="18">
        <f t="shared" ref="J4:J12" si="2">H4*I4</f>
        <v>23.4</v>
      </c>
      <c r="K4" s="44">
        <v>36.6</v>
      </c>
      <c r="L4" s="44">
        <v>1</v>
      </c>
      <c r="M4" s="18">
        <f t="shared" ref="M4:M12" si="3">K4*L4</f>
        <v>36.6</v>
      </c>
      <c r="N4" s="44">
        <v>24.5</v>
      </c>
      <c r="O4" s="44">
        <v>1</v>
      </c>
      <c r="P4" s="18">
        <f t="shared" ref="P4:P12" si="4">N4*O4</f>
        <v>24.5</v>
      </c>
      <c r="Q4" s="44"/>
      <c r="R4" s="44"/>
      <c r="S4" s="44"/>
      <c r="T4" s="44"/>
      <c r="U4" s="44"/>
      <c r="V4" s="44"/>
      <c r="W4" s="44"/>
      <c r="X4" s="44"/>
      <c r="Y4" s="44"/>
    </row>
    <row r="5" spans="1:26" x14ac:dyDescent="0.25">
      <c r="A5" s="42">
        <v>3</v>
      </c>
      <c r="B5" s="43">
        <v>11.7</v>
      </c>
      <c r="C5" s="43">
        <v>1</v>
      </c>
      <c r="D5" s="18">
        <f t="shared" si="0"/>
        <v>11.7</v>
      </c>
      <c r="E5" s="44">
        <v>185</v>
      </c>
      <c r="F5" s="44">
        <v>1</v>
      </c>
      <c r="G5" s="18">
        <f t="shared" si="1"/>
        <v>185</v>
      </c>
      <c r="H5" s="44">
        <v>27</v>
      </c>
      <c r="I5" s="44">
        <v>1</v>
      </c>
      <c r="J5" s="18">
        <f t="shared" si="2"/>
        <v>27</v>
      </c>
      <c r="K5" s="44">
        <v>43.7</v>
      </c>
      <c r="L5" s="44">
        <v>1</v>
      </c>
      <c r="M5" s="18">
        <f t="shared" si="3"/>
        <v>43.7</v>
      </c>
      <c r="N5" s="44">
        <v>29.2</v>
      </c>
      <c r="O5" s="44">
        <v>1</v>
      </c>
      <c r="P5" s="18">
        <f t="shared" si="4"/>
        <v>29.2</v>
      </c>
      <c r="Q5" s="44"/>
      <c r="R5" s="44"/>
      <c r="S5" s="44"/>
      <c r="T5" s="44"/>
      <c r="U5" s="44"/>
      <c r="V5" s="44"/>
      <c r="W5" s="44"/>
      <c r="X5" s="44"/>
      <c r="Y5" s="44"/>
    </row>
    <row r="6" spans="1:26" x14ac:dyDescent="0.25">
      <c r="A6" s="42">
        <v>4</v>
      </c>
      <c r="B6" s="43">
        <v>11.85</v>
      </c>
      <c r="C6" s="43">
        <v>1</v>
      </c>
      <c r="D6" s="18">
        <f t="shared" si="0"/>
        <v>11.85</v>
      </c>
      <c r="E6" s="44">
        <v>180</v>
      </c>
      <c r="F6" s="44">
        <v>1</v>
      </c>
      <c r="G6" s="18">
        <f t="shared" si="1"/>
        <v>180</v>
      </c>
      <c r="H6" s="44">
        <v>27.5</v>
      </c>
      <c r="I6" s="44">
        <v>1</v>
      </c>
      <c r="J6" s="18">
        <f t="shared" si="2"/>
        <v>27.5</v>
      </c>
      <c r="K6" s="44">
        <v>49</v>
      </c>
      <c r="L6" s="44">
        <v>1</v>
      </c>
      <c r="M6" s="18">
        <f t="shared" si="3"/>
        <v>49</v>
      </c>
      <c r="N6" s="44">
        <v>33.5</v>
      </c>
      <c r="O6" s="44">
        <v>1</v>
      </c>
      <c r="P6" s="18">
        <f t="shared" si="4"/>
        <v>33.5</v>
      </c>
      <c r="Q6" s="44"/>
      <c r="R6" s="44"/>
      <c r="S6" s="44"/>
      <c r="T6" s="44"/>
      <c r="U6" s="44"/>
      <c r="V6" s="44"/>
      <c r="W6" s="44"/>
      <c r="X6" s="44"/>
      <c r="Y6" s="44"/>
    </row>
    <row r="7" spans="1:26" x14ac:dyDescent="0.25">
      <c r="A7" s="42">
        <v>5</v>
      </c>
      <c r="B7" s="43">
        <v>11.9</v>
      </c>
      <c r="C7" s="43">
        <v>1</v>
      </c>
      <c r="D7" s="18">
        <f t="shared" si="0"/>
        <v>11.9</v>
      </c>
      <c r="E7" s="44">
        <v>180</v>
      </c>
      <c r="F7" s="44">
        <v>1</v>
      </c>
      <c r="G7" s="18">
        <f t="shared" si="1"/>
        <v>180</v>
      </c>
      <c r="H7" s="44">
        <v>28</v>
      </c>
      <c r="I7" s="44">
        <v>1</v>
      </c>
      <c r="J7" s="18">
        <f t="shared" si="2"/>
        <v>28</v>
      </c>
      <c r="K7" s="44">
        <v>52.3</v>
      </c>
      <c r="L7" s="44">
        <v>1</v>
      </c>
      <c r="M7" s="18">
        <f t="shared" si="3"/>
        <v>52.3</v>
      </c>
      <c r="N7" s="44">
        <v>35.700000000000003</v>
      </c>
      <c r="O7" s="44">
        <v>1</v>
      </c>
      <c r="P7" s="18">
        <f t="shared" si="4"/>
        <v>35.700000000000003</v>
      </c>
      <c r="Q7" s="44"/>
      <c r="R7" s="44"/>
      <c r="S7" s="44"/>
      <c r="T7" s="44"/>
      <c r="U7" s="44"/>
      <c r="V7" s="44"/>
      <c r="W7" s="44"/>
      <c r="X7" s="44"/>
      <c r="Y7" s="44"/>
    </row>
    <row r="8" spans="1:26" x14ac:dyDescent="0.25">
      <c r="A8" s="42">
        <v>6</v>
      </c>
      <c r="B8" s="43">
        <v>11.95</v>
      </c>
      <c r="C8" s="43">
        <v>1</v>
      </c>
      <c r="D8" s="18">
        <f t="shared" si="0"/>
        <v>11.95</v>
      </c>
      <c r="E8" s="44">
        <v>185</v>
      </c>
      <c r="F8" s="44">
        <v>1</v>
      </c>
      <c r="G8" s="18">
        <f t="shared" si="1"/>
        <v>185</v>
      </c>
      <c r="H8" s="44">
        <v>30.4</v>
      </c>
      <c r="I8" s="44">
        <v>1</v>
      </c>
      <c r="J8" s="18">
        <f t="shared" si="2"/>
        <v>30.4</v>
      </c>
      <c r="K8" s="44">
        <v>54.5</v>
      </c>
      <c r="L8" s="44">
        <v>1</v>
      </c>
      <c r="M8" s="18">
        <f t="shared" si="3"/>
        <v>54.5</v>
      </c>
      <c r="N8" s="44">
        <v>34.1</v>
      </c>
      <c r="O8" s="44">
        <v>1</v>
      </c>
      <c r="P8" s="18">
        <f t="shared" si="4"/>
        <v>34.1</v>
      </c>
      <c r="Q8" s="44"/>
      <c r="R8" s="44"/>
      <c r="S8" s="44"/>
      <c r="T8" s="44"/>
      <c r="U8" s="44"/>
      <c r="V8" s="44"/>
      <c r="W8" s="44"/>
      <c r="X8" s="44"/>
      <c r="Y8" s="44"/>
    </row>
    <row r="9" spans="1:26" x14ac:dyDescent="0.25">
      <c r="A9" s="42">
        <v>7</v>
      </c>
      <c r="B9" s="43">
        <v>11.95</v>
      </c>
      <c r="C9" s="43">
        <v>1</v>
      </c>
      <c r="D9" s="18">
        <f t="shared" si="0"/>
        <v>11.95</v>
      </c>
      <c r="E9" s="44">
        <v>185</v>
      </c>
      <c r="F9" s="44">
        <v>1</v>
      </c>
      <c r="G9" s="18">
        <f t="shared" si="1"/>
        <v>185</v>
      </c>
      <c r="H9" s="44">
        <v>37</v>
      </c>
      <c r="I9" s="44">
        <v>1</v>
      </c>
      <c r="J9" s="18">
        <f t="shared" si="2"/>
        <v>37</v>
      </c>
      <c r="K9" s="44">
        <v>56.4</v>
      </c>
      <c r="L9" s="44">
        <v>1</v>
      </c>
      <c r="M9" s="18">
        <f t="shared" si="3"/>
        <v>56.4</v>
      </c>
      <c r="N9" s="44">
        <v>37.5</v>
      </c>
      <c r="O9" s="44">
        <v>1</v>
      </c>
      <c r="P9" s="18">
        <f t="shared" si="4"/>
        <v>37.5</v>
      </c>
      <c r="Q9" s="44"/>
      <c r="R9" s="44"/>
      <c r="S9" s="44"/>
      <c r="T9" s="44"/>
      <c r="U9" s="44"/>
      <c r="V9" s="44"/>
      <c r="W9" s="44"/>
      <c r="X9" s="44"/>
      <c r="Y9" s="44"/>
    </row>
    <row r="10" spans="1:26" x14ac:dyDescent="0.25">
      <c r="A10" s="42">
        <v>8</v>
      </c>
      <c r="B10" s="43">
        <v>11.85</v>
      </c>
      <c r="C10" s="43">
        <v>1</v>
      </c>
      <c r="D10" s="18">
        <f t="shared" si="0"/>
        <v>11.85</v>
      </c>
      <c r="E10" s="44">
        <v>185</v>
      </c>
      <c r="F10" s="44">
        <v>1</v>
      </c>
      <c r="G10" s="18">
        <f t="shared" si="1"/>
        <v>185</v>
      </c>
      <c r="H10" s="44">
        <v>37.9</v>
      </c>
      <c r="I10" s="44">
        <v>1</v>
      </c>
      <c r="J10" s="18">
        <f t="shared" si="2"/>
        <v>37.9</v>
      </c>
      <c r="K10" s="44">
        <v>57.7</v>
      </c>
      <c r="L10" s="44">
        <v>1</v>
      </c>
      <c r="M10" s="18">
        <f t="shared" si="3"/>
        <v>57.7</v>
      </c>
      <c r="N10" s="44">
        <v>38.5</v>
      </c>
      <c r="O10" s="44">
        <v>1</v>
      </c>
      <c r="P10" s="18">
        <f t="shared" si="4"/>
        <v>38.5</v>
      </c>
      <c r="Q10" s="44"/>
      <c r="R10" s="44"/>
      <c r="S10" s="44"/>
      <c r="T10" s="44"/>
      <c r="U10" s="44"/>
      <c r="V10" s="44"/>
      <c r="W10" s="44"/>
      <c r="X10" s="44"/>
      <c r="Y10" s="44"/>
    </row>
    <row r="11" spans="1:26" x14ac:dyDescent="0.25">
      <c r="A11" s="42">
        <v>9</v>
      </c>
      <c r="B11" s="43">
        <v>11.8</v>
      </c>
      <c r="C11" s="43">
        <v>1</v>
      </c>
      <c r="D11" s="18">
        <f t="shared" si="0"/>
        <v>11.8</v>
      </c>
      <c r="E11" s="44">
        <v>175</v>
      </c>
      <c r="F11" s="44">
        <v>1</v>
      </c>
      <c r="G11" s="18">
        <f t="shared" si="1"/>
        <v>175</v>
      </c>
      <c r="H11" s="44">
        <v>37.200000000000003</v>
      </c>
      <c r="I11" s="44">
        <v>1</v>
      </c>
      <c r="J11" s="18">
        <f t="shared" si="2"/>
        <v>37.200000000000003</v>
      </c>
      <c r="K11" s="44">
        <v>59</v>
      </c>
      <c r="L11" s="44">
        <v>1</v>
      </c>
      <c r="M11" s="18">
        <f t="shared" si="3"/>
        <v>59</v>
      </c>
      <c r="N11" s="44">
        <v>37.799999999999997</v>
      </c>
      <c r="O11" s="44">
        <v>1</v>
      </c>
      <c r="P11" s="18">
        <f t="shared" si="4"/>
        <v>37.799999999999997</v>
      </c>
      <c r="Q11" s="44"/>
      <c r="R11" s="44"/>
      <c r="S11" s="44"/>
      <c r="T11" s="44"/>
      <c r="U11" s="44"/>
      <c r="V11" s="44"/>
      <c r="W11" s="44"/>
      <c r="X11" s="44"/>
      <c r="Y11" s="44"/>
    </row>
    <row r="12" spans="1:26" x14ac:dyDescent="0.25">
      <c r="A12" s="42">
        <v>10</v>
      </c>
      <c r="B12" s="43">
        <v>11.8</v>
      </c>
      <c r="C12" s="43">
        <v>1</v>
      </c>
      <c r="D12" s="18">
        <f t="shared" si="0"/>
        <v>11.8</v>
      </c>
      <c r="E12" s="44">
        <v>175</v>
      </c>
      <c r="F12" s="44">
        <v>1</v>
      </c>
      <c r="G12" s="18">
        <f t="shared" si="1"/>
        <v>175</v>
      </c>
      <c r="H12" s="44">
        <v>39.9</v>
      </c>
      <c r="I12" s="44">
        <v>1</v>
      </c>
      <c r="J12" s="18">
        <f t="shared" si="2"/>
        <v>39.9</v>
      </c>
      <c r="K12" s="44">
        <v>61.3</v>
      </c>
      <c r="L12" s="44">
        <v>1</v>
      </c>
      <c r="M12" s="18">
        <f t="shared" si="3"/>
        <v>61.3</v>
      </c>
      <c r="N12" s="44">
        <v>43.4</v>
      </c>
      <c r="O12" s="44">
        <v>1</v>
      </c>
      <c r="P12" s="18">
        <f t="shared" si="4"/>
        <v>43.4</v>
      </c>
      <c r="Q12" s="44"/>
      <c r="R12" s="44"/>
      <c r="S12" s="44"/>
      <c r="T12" s="44"/>
      <c r="U12" s="44"/>
      <c r="V12" s="44"/>
      <c r="W12" s="44"/>
      <c r="X12" s="44"/>
      <c r="Y12" s="44"/>
    </row>
    <row r="13" spans="1:26" x14ac:dyDescent="0.25"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6" x14ac:dyDescent="0.25"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6" x14ac:dyDescent="0.25"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6" x14ac:dyDescent="0.25">
      <c r="A16" s="31" t="s">
        <v>18</v>
      </c>
      <c r="B16" s="32">
        <v>20.6</v>
      </c>
      <c r="C16" s="30" t="s">
        <v>70</v>
      </c>
    </row>
    <row r="17" spans="1:3" x14ac:dyDescent="0.25">
      <c r="A17" s="31" t="s">
        <v>19</v>
      </c>
      <c r="B17" s="32">
        <v>56.3</v>
      </c>
      <c r="C17" s="30" t="s">
        <v>69</v>
      </c>
    </row>
    <row r="18" spans="1:3" x14ac:dyDescent="0.25">
      <c r="A18" s="31" t="s">
        <v>20</v>
      </c>
      <c r="B18" s="32">
        <v>3.3</v>
      </c>
      <c r="C18" s="30" t="s">
        <v>69</v>
      </c>
    </row>
    <row r="19" spans="1:3" x14ac:dyDescent="0.25">
      <c r="A19" s="31" t="s">
        <v>21</v>
      </c>
      <c r="B19" s="32">
        <v>75</v>
      </c>
      <c r="C19" s="30" t="s">
        <v>70</v>
      </c>
    </row>
    <row r="20" spans="1:3" x14ac:dyDescent="0.25">
      <c r="A20" s="31" t="s">
        <v>19</v>
      </c>
      <c r="B20" s="41">
        <f>$B$17*(235+$B$19)/(235+$B$16)</f>
        <v>68.282472613458523</v>
      </c>
      <c r="C20" s="30" t="s">
        <v>69</v>
      </c>
    </row>
    <row r="21" spans="1:3" x14ac:dyDescent="0.25">
      <c r="A21" s="31" t="s">
        <v>20</v>
      </c>
      <c r="B21" s="41">
        <f>$B$18*(235+$B$19)/(235+$B$16)</f>
        <v>4.002347417840376</v>
      </c>
      <c r="C21" s="30" t="s">
        <v>69</v>
      </c>
    </row>
    <row r="22" spans="1:3" x14ac:dyDescent="0.25">
      <c r="A22" s="31" t="s">
        <v>24</v>
      </c>
      <c r="B22" s="38">
        <f>$S$3/660*(0.45/$V$3)</f>
        <v>9.375E-2</v>
      </c>
      <c r="C22" s="30"/>
    </row>
    <row r="23" spans="1:3" x14ac:dyDescent="0.25">
      <c r="A23" s="31" t="s">
        <v>23</v>
      </c>
      <c r="B23" s="38">
        <f>$Y$3/297*(0.45^2/$V$3^2)</f>
        <v>9.1619318181818177E-2</v>
      </c>
      <c r="C23" s="30"/>
    </row>
    <row r="24" spans="1:3" x14ac:dyDescent="0.25">
      <c r="A24" s="31" t="s">
        <v>22</v>
      </c>
      <c r="B24" s="38">
        <f>($B$22^2-$B$23^2)^(1/2)</f>
        <v>1.9873676959706307E-2</v>
      </c>
      <c r="C24" s="30"/>
    </row>
  </sheetData>
  <mergeCells count="9">
    <mergeCell ref="A1:A2"/>
    <mergeCell ref="Q1:S1"/>
    <mergeCell ref="T1:V1"/>
    <mergeCell ref="W1:Y1"/>
    <mergeCell ref="B1:D1"/>
    <mergeCell ref="E1:G1"/>
    <mergeCell ref="H1:J1"/>
    <mergeCell ref="K1:M1"/>
    <mergeCell ref="N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2"/>
  <sheetViews>
    <sheetView topLeftCell="J21" workbookViewId="0">
      <selection activeCell="F2" sqref="F2"/>
    </sheetView>
  </sheetViews>
  <sheetFormatPr defaultRowHeight="15" x14ac:dyDescent="0.25"/>
  <sheetData>
    <row r="1" spans="1:9" x14ac:dyDescent="0.25">
      <c r="A1" s="31" t="s">
        <v>25</v>
      </c>
      <c r="B1" s="32">
        <v>660</v>
      </c>
      <c r="C1" s="33" t="s">
        <v>26</v>
      </c>
      <c r="E1" s="20" t="s">
        <v>47</v>
      </c>
      <c r="F1" s="20" t="s">
        <v>48</v>
      </c>
      <c r="G1" s="20" t="s">
        <v>44</v>
      </c>
      <c r="H1" s="20" t="s">
        <v>45</v>
      </c>
      <c r="I1" s="20" t="s">
        <v>46</v>
      </c>
    </row>
    <row r="2" spans="1:9" x14ac:dyDescent="0.25">
      <c r="A2" s="31" t="s">
        <v>27</v>
      </c>
      <c r="B2" s="32">
        <v>110</v>
      </c>
      <c r="C2" s="33" t="s">
        <v>26</v>
      </c>
      <c r="E2" s="23">
        <v>0</v>
      </c>
      <c r="F2" s="23">
        <v>-1</v>
      </c>
      <c r="G2" s="24">
        <f>$B$12*E2+$B$13*F2</f>
        <v>-1.9873676959706307E-2</v>
      </c>
      <c r="H2" s="24">
        <f>$B$13*E2-$B$12*F2</f>
        <v>9.1619318181818177E-2</v>
      </c>
      <c r="I2" s="24">
        <f>$B$14*G2+($B$14^2*H2^2)/200</f>
        <v>-1.9831706462385801E-2</v>
      </c>
    </row>
    <row r="3" spans="1:9" x14ac:dyDescent="0.25">
      <c r="A3" s="31" t="s">
        <v>28</v>
      </c>
      <c r="B3" s="32">
        <v>297</v>
      </c>
      <c r="C3" s="33" t="s">
        <v>29</v>
      </c>
      <c r="E3" s="21">
        <v>0.01</v>
      </c>
      <c r="F3" s="21">
        <v>-0.99994999874993751</v>
      </c>
      <c r="G3" s="22">
        <f t="shared" ref="G3:G66" si="0">$B$12*E3+$B$13*F3</f>
        <v>-1.8956490069196804E-2</v>
      </c>
      <c r="H3" s="22">
        <f t="shared" ref="H3:H66" si="1">$B$13*E3-$B$12*F3</f>
        <v>9.181347387097627E-2</v>
      </c>
      <c r="I3" s="22">
        <f t="shared" ref="I3:I66" si="2">$B$14*G3+($B$14^2*H3^2)/200</f>
        <v>-1.8914341499275521E-2</v>
      </c>
    </row>
    <row r="4" spans="1:9" x14ac:dyDescent="0.25">
      <c r="A4" s="34" t="s">
        <v>41</v>
      </c>
      <c r="B4" s="35">
        <v>0.45</v>
      </c>
      <c r="C4" s="35" t="s">
        <v>43</v>
      </c>
      <c r="E4" s="21">
        <v>0.02</v>
      </c>
      <c r="F4" s="21">
        <v>-0.99979997999599901</v>
      </c>
      <c r="G4" s="22">
        <f t="shared" si="0"/>
        <v>-1.803731546312495E-2</v>
      </c>
      <c r="H4" s="22">
        <f t="shared" si="1"/>
        <v>9.1998466024623013E-2</v>
      </c>
      <c r="I4" s="22">
        <f t="shared" si="2"/>
        <v>-1.799499687437053E-2</v>
      </c>
    </row>
    <row r="5" spans="1:9" x14ac:dyDescent="0.25">
      <c r="A5" s="34" t="s">
        <v>42</v>
      </c>
      <c r="B5" s="35">
        <v>2.7</v>
      </c>
      <c r="C5" s="35" t="s">
        <v>43</v>
      </c>
      <c r="E5" s="21">
        <v>0.03</v>
      </c>
      <c r="F5" s="21">
        <v>-0.9995498987044118</v>
      </c>
      <c r="G5" s="22">
        <f t="shared" si="0"/>
        <v>-1.7116152246504097E-2</v>
      </c>
      <c r="H5" s="22">
        <f t="shared" si="1"/>
        <v>9.2174290516794821E-2</v>
      </c>
      <c r="I5" s="22">
        <f t="shared" si="2"/>
        <v>-1.7073671747342724E-2</v>
      </c>
    </row>
    <row r="6" spans="1:9" x14ac:dyDescent="0.25">
      <c r="A6" s="31" t="s">
        <v>30</v>
      </c>
      <c r="B6" s="32">
        <f>'Резултати мјерења'!$Q$3*'Резултати мјерења'!$R$3</f>
        <v>55</v>
      </c>
      <c r="C6" s="33" t="s">
        <v>26</v>
      </c>
      <c r="E6" s="21">
        <v>0.04</v>
      </c>
      <c r="F6" s="21">
        <v>-0.99919967974374369</v>
      </c>
      <c r="G6" s="22">
        <f t="shared" si="0"/>
        <v>-1.6192998926196432E-2</v>
      </c>
      <c r="H6" s="22">
        <f t="shared" si="1"/>
        <v>9.2340940464001139E-2</v>
      </c>
      <c r="I6" s="22">
        <f t="shared" si="2"/>
        <v>-1.6150364679767552E-2</v>
      </c>
    </row>
    <row r="7" spans="1:9" x14ac:dyDescent="0.25">
      <c r="A7" s="31" t="s">
        <v>31</v>
      </c>
      <c r="B7" s="32">
        <f>'Резултати мјерења'!$W$3*'Резултати мјерења'!$X$3</f>
        <v>21.5</v>
      </c>
      <c r="C7" s="33" t="s">
        <v>32</v>
      </c>
      <c r="E7" s="21">
        <v>0.05</v>
      </c>
      <c r="F7" s="21">
        <v>-0.99874921777190895</v>
      </c>
      <c r="G7" s="22">
        <f t="shared" si="0"/>
        <v>-1.5267853408667376E-2</v>
      </c>
      <c r="H7" s="22">
        <f t="shared" si="1"/>
        <v>9.2498406214871862E-2</v>
      </c>
      <c r="I7" s="22">
        <f t="shared" si="2"/>
        <v>-1.5225073632905919E-2</v>
      </c>
    </row>
    <row r="8" spans="1:9" x14ac:dyDescent="0.25">
      <c r="A8" s="31" t="s">
        <v>33</v>
      </c>
      <c r="B8" s="32">
        <f>'Резултати мјерења'!$T$3*'Резултати мјерења'!$U$3</f>
        <v>0.4</v>
      </c>
      <c r="C8" s="36" t="s">
        <v>43</v>
      </c>
      <c r="E8" s="21">
        <v>0.06</v>
      </c>
      <c r="F8" s="21">
        <v>-0.99819837707742243</v>
      </c>
      <c r="G8" s="22">
        <f t="shared" si="0"/>
        <v>-1.4340712996830707E-2</v>
      </c>
      <c r="H8" s="22">
        <f t="shared" si="1"/>
        <v>9.2646675335613257E-2</v>
      </c>
      <c r="I8" s="22">
        <f t="shared" si="2"/>
        <v>-1.4297795964576995E-2</v>
      </c>
    </row>
    <row r="9" spans="1:9" x14ac:dyDescent="0.25">
      <c r="A9" s="34" t="s">
        <v>39</v>
      </c>
      <c r="B9" s="35">
        <f>B6*(B4/B8)</f>
        <v>61.875</v>
      </c>
      <c r="C9" s="36" t="s">
        <v>26</v>
      </c>
      <c r="E9" s="21">
        <v>7.0000000000000007E-2</v>
      </c>
      <c r="F9" s="21">
        <v>-0.99754699137434122</v>
      </c>
      <c r="G9" s="22">
        <f t="shared" si="0"/>
        <v>-1.3411574385973318E-2</v>
      </c>
      <c r="H9" s="22">
        <f t="shared" si="1"/>
        <v>9.2785732591220652E-2</v>
      </c>
      <c r="I9" s="22">
        <f t="shared" si="2"/>
        <v>-1.3368528425110871E-2</v>
      </c>
    </row>
    <row r="10" spans="1:9" x14ac:dyDescent="0.25">
      <c r="A10" s="34" t="s">
        <v>40</v>
      </c>
      <c r="B10" s="37">
        <f>B7*(B4^2/B8^2)</f>
        <v>27.210937499999996</v>
      </c>
      <c r="C10" s="36" t="s">
        <v>32</v>
      </c>
      <c r="E10" s="21">
        <v>0.08</v>
      </c>
      <c r="F10" s="21">
        <v>-0.996794863550169</v>
      </c>
      <c r="G10" s="22">
        <f t="shared" si="0"/>
        <v>-1.2480433658745134E-2</v>
      </c>
      <c r="H10" s="22">
        <f t="shared" si="1"/>
        <v>9.2915559922381472E-2</v>
      </c>
      <c r="I10" s="22">
        <f t="shared" si="2"/>
        <v>-1.2437267152366685E-2</v>
      </c>
    </row>
    <row r="11" spans="1:9" x14ac:dyDescent="0.25">
      <c r="A11" s="31" t="s">
        <v>24</v>
      </c>
      <c r="B11" s="38">
        <f>'Резултати мјерења'!B22</f>
        <v>9.375E-2</v>
      </c>
      <c r="C11" s="35"/>
      <c r="E11" s="21">
        <v>0.09</v>
      </c>
      <c r="F11" s="21">
        <v>-0.99594176536582701</v>
      </c>
      <c r="G11" s="22">
        <f t="shared" si="0"/>
        <v>-1.1547286279196425E-2</v>
      </c>
      <c r="H11" s="22">
        <f t="shared" si="1"/>
        <v>9.303613641798697E-2</v>
      </c>
      <c r="I11" s="22">
        <f t="shared" si="2"/>
        <v>-1.1504007665798493E-2</v>
      </c>
    </row>
    <row r="12" spans="1:9" x14ac:dyDescent="0.25">
      <c r="A12" s="31" t="s">
        <v>23</v>
      </c>
      <c r="B12" s="38">
        <f>'Резултати мјерења'!B23</f>
        <v>9.1619318181818177E-2</v>
      </c>
      <c r="C12" s="35"/>
      <c r="E12" s="21">
        <v>0.1</v>
      </c>
      <c r="F12" s="21">
        <v>-0.99498743710661997</v>
      </c>
      <c r="G12" s="22">
        <f t="shared" si="0"/>
        <v>-1.0612127085841245E-2</v>
      </c>
      <c r="H12" s="22">
        <f t="shared" si="1"/>
        <v>9.3147438283153847E-2</v>
      </c>
      <c r="I12" s="22">
        <f t="shared" si="2"/>
        <v>-1.0568744859547674E-2</v>
      </c>
    </row>
    <row r="13" spans="1:9" x14ac:dyDescent="0.25">
      <c r="A13" s="31" t="s">
        <v>22</v>
      </c>
      <c r="B13" s="38">
        <f>'Резултати мјерења'!B24</f>
        <v>1.9873676959706307E-2</v>
      </c>
      <c r="C13" s="35"/>
      <c r="E13" s="21">
        <v>0.11</v>
      </c>
      <c r="F13" s="21">
        <v>-0.99393158718294083</v>
      </c>
      <c r="G13" s="22">
        <f t="shared" si="0"/>
        <v>-9.674950283721933E-3</v>
      </c>
      <c r="H13" s="22">
        <f t="shared" si="1"/>
        <v>9.3249438802641096E-2</v>
      </c>
      <c r="I13" s="22">
        <f t="shared" si="2"/>
        <v>-9.6314729945368958E-3</v>
      </c>
    </row>
    <row r="14" spans="1:9" x14ac:dyDescent="0.25">
      <c r="A14" s="31" t="s">
        <v>37</v>
      </c>
      <c r="B14" s="32">
        <v>1</v>
      </c>
      <c r="C14" s="35"/>
      <c r="E14" s="21">
        <v>0.12</v>
      </c>
      <c r="F14" s="21">
        <v>-0.99277389167926855</v>
      </c>
      <c r="G14" s="22">
        <f t="shared" si="0"/>
        <v>-8.7357494354460621E-3</v>
      </c>
      <c r="H14" s="22">
        <f t="shared" si="1"/>
        <v>9.3342108299529561E-2</v>
      </c>
      <c r="I14" s="22">
        <f t="shared" si="2"/>
        <v>-8.6921856895370558E-3</v>
      </c>
    </row>
    <row r="15" spans="1:9" x14ac:dyDescent="0.25">
      <c r="A15" s="31" t="s">
        <v>38</v>
      </c>
      <c r="B15" s="39">
        <f>B10/(B9*B4)</f>
        <v>0.97727272727272718</v>
      </c>
      <c r="C15" s="35"/>
      <c r="E15" s="21">
        <v>0.13</v>
      </c>
      <c r="F15" s="21">
        <v>-0.99151399384980943</v>
      </c>
      <c r="G15" s="22">
        <f t="shared" si="0"/>
        <v>-7.7945174511629758E-3</v>
      </c>
      <c r="H15" s="22">
        <f t="shared" si="1"/>
        <v>9.3425414089012823E-2</v>
      </c>
      <c r="I15" s="22">
        <f t="shared" si="2"/>
        <v>-7.7508759111744579E-3</v>
      </c>
    </row>
    <row r="16" spans="1:9" x14ac:dyDescent="0.25">
      <c r="A16" s="31" t="s">
        <v>34</v>
      </c>
      <c r="B16" s="32">
        <f>B9/B4</f>
        <v>137.5</v>
      </c>
      <c r="C16" s="47" t="s">
        <v>69</v>
      </c>
      <c r="E16" s="21">
        <v>0.14000000000000001</v>
      </c>
      <c r="F16" s="21">
        <v>-0.99015150355892512</v>
      </c>
      <c r="G16" s="22">
        <f t="shared" si="0"/>
        <v>-6.8512465774430206E-3</v>
      </c>
      <c r="H16" s="22">
        <f t="shared" si="1"/>
        <v>9.3499320427129703E-2</v>
      </c>
      <c r="I16" s="22">
        <f t="shared" si="2"/>
        <v>-6.8075359628413448E-3</v>
      </c>
    </row>
    <row r="17" spans="1:36" x14ac:dyDescent="0.25">
      <c r="A17" s="31" t="s">
        <v>35</v>
      </c>
      <c r="B17" s="32">
        <f>B16*B15</f>
        <v>134.375</v>
      </c>
      <c r="C17" s="35" t="s">
        <v>69</v>
      </c>
      <c r="E17" s="21">
        <v>0.15</v>
      </c>
      <c r="F17" s="21">
        <v>-0.98868599666425949</v>
      </c>
      <c r="G17" s="22">
        <f t="shared" si="0"/>
        <v>-5.9059283850180343E-3</v>
      </c>
      <c r="H17" s="22">
        <f t="shared" si="1"/>
        <v>9.356378845424676E-2</v>
      </c>
      <c r="I17" s="22">
        <f t="shared" si="2"/>
        <v>-5.8621574724684791E-3</v>
      </c>
    </row>
    <row r="18" spans="1:36" x14ac:dyDescent="0.25">
      <c r="A18" s="31" t="s">
        <v>36</v>
      </c>
      <c r="B18" s="40">
        <f>$B$16*(1-$B$15^2)^(1/2)</f>
        <v>29.148059540902612</v>
      </c>
      <c r="C18" s="35" t="s">
        <v>69</v>
      </c>
      <c r="E18" s="21">
        <v>0.16</v>
      </c>
      <c r="F18" s="21">
        <v>-0.98711701434024535</v>
      </c>
      <c r="G18" s="22">
        <f t="shared" si="0"/>
        <v>-4.9585537553369068E-3</v>
      </c>
      <c r="H18" s="22">
        <f t="shared" si="1"/>
        <v>9.3618776133078327E-2</v>
      </c>
      <c r="I18" s="22">
        <f t="shared" si="2"/>
        <v>-4.9147313791136297E-3</v>
      </c>
    </row>
    <row r="19" spans="1:36" x14ac:dyDescent="0.25">
      <c r="E19" s="21">
        <v>0.17</v>
      </c>
      <c r="F19" s="21">
        <v>-0.98544406233941051</v>
      </c>
      <c r="G19" s="22">
        <f t="shared" si="0"/>
        <v>-4.009112865885036E-3</v>
      </c>
      <c r="H19" s="22">
        <f t="shared" si="1"/>
        <v>9.3664238181007997E-2</v>
      </c>
      <c r="I19" s="22">
        <f t="shared" si="2"/>
        <v>-3.9652479183148927E-3</v>
      </c>
    </row>
    <row r="20" spans="1:36" x14ac:dyDescent="0.25">
      <c r="E20" s="21">
        <v>0.18</v>
      </c>
      <c r="F20" s="21">
        <v>-0.98366661018863499</v>
      </c>
      <c r="G20" s="22">
        <f t="shared" si="0"/>
        <v>-3.05759517421101E-3</v>
      </c>
      <c r="H20" s="22">
        <f t="shared" si="1"/>
        <v>9.3700125996450195E-2</v>
      </c>
      <c r="I20" s="22">
        <f t="shared" si="2"/>
        <v>-3.0136966061522566E-3</v>
      </c>
      <c r="V20" s="26"/>
      <c r="W20" s="27"/>
      <c r="X20" s="26"/>
      <c r="Y20" s="28"/>
      <c r="Z20" s="26"/>
      <c r="AA20" s="26"/>
      <c r="AB20" s="27"/>
      <c r="AC20" s="26"/>
      <c r="AD20" s="28"/>
      <c r="AH20" s="3" t="s">
        <v>16</v>
      </c>
      <c r="AI20" s="13" t="s">
        <v>17</v>
      </c>
      <c r="AJ20" s="4" t="s">
        <v>15</v>
      </c>
    </row>
    <row r="21" spans="1:36" x14ac:dyDescent="0.25">
      <c r="E21" s="21">
        <v>0.19</v>
      </c>
      <c r="F21" s="21">
        <v>-0.98178409031721425</v>
      </c>
      <c r="G21" s="22">
        <f t="shared" si="0"/>
        <v>-2.1039894005979824E-3</v>
      </c>
      <c r="H21" s="22">
        <f t="shared" si="1"/>
        <v>9.3726387578963954E-2</v>
      </c>
      <c r="I21" s="22">
        <f t="shared" si="2"/>
        <v>-2.0600662219549715E-3</v>
      </c>
      <c r="V21" s="26"/>
      <c r="W21" s="26"/>
      <c r="X21" s="26"/>
      <c r="Y21" s="29"/>
      <c r="Z21" s="26"/>
      <c r="AA21" s="26"/>
      <c r="AB21" s="26"/>
      <c r="AC21" s="26"/>
      <c r="AD21" s="29"/>
      <c r="AH21" s="8">
        <v>0</v>
      </c>
      <c r="AI21" s="12">
        <f t="shared" ref="AI21:AI26" si="3">SQRT(1-POWER(AH21, 2))</f>
        <v>1</v>
      </c>
      <c r="AJ21" s="10">
        <v>2.4066999999999998</v>
      </c>
    </row>
    <row r="22" spans="1:36" x14ac:dyDescent="0.25">
      <c r="E22" s="23">
        <v>0.2</v>
      </c>
      <c r="F22" s="23">
        <v>-0.9797958971132712</v>
      </c>
      <c r="G22" s="24">
        <f t="shared" si="0"/>
        <v>-1.1482835093111557E-3</v>
      </c>
      <c r="H22" s="24">
        <f t="shared" si="1"/>
        <v>9.3742967442802042E-2</v>
      </c>
      <c r="I22" s="24">
        <f t="shared" si="2"/>
        <v>-1.1043447895862444E-3</v>
      </c>
      <c r="V22" s="26"/>
      <c r="W22" s="26"/>
      <c r="X22" s="26"/>
      <c r="Y22" s="29"/>
      <c r="Z22" s="26"/>
      <c r="AA22" s="26"/>
      <c r="AB22" s="26"/>
      <c r="AC22" s="26"/>
      <c r="AD22" s="29"/>
      <c r="AH22" s="8">
        <v>0.2</v>
      </c>
      <c r="AI22" s="14">
        <f t="shared" si="3"/>
        <v>0.9797958971132712</v>
      </c>
      <c r="AJ22" s="10">
        <v>4.1473000000000004</v>
      </c>
    </row>
    <row r="23" spans="1:36" x14ac:dyDescent="0.25">
      <c r="E23" s="21">
        <v>0.21</v>
      </c>
      <c r="F23" s="21">
        <v>-0.97770138590471478</v>
      </c>
      <c r="G23" s="22">
        <f t="shared" si="0"/>
        <v>-1.9046468834563873E-4</v>
      </c>
      <c r="H23" s="22">
        <f t="shared" si="1"/>
        <v>9.3749806523546989E-2</v>
      </c>
      <c r="I23" s="22">
        <f t="shared" si="2"/>
        <v>-1.4651955722962628E-4</v>
      </c>
      <c r="V23" s="26"/>
      <c r="W23" s="26"/>
      <c r="X23" s="26"/>
      <c r="Y23" s="29"/>
      <c r="Z23" s="26"/>
      <c r="AA23" s="26"/>
      <c r="AB23" s="26"/>
      <c r="AC23" s="26"/>
      <c r="AD23" s="29"/>
      <c r="AH23" s="8">
        <v>0.4</v>
      </c>
      <c r="AI23" s="14">
        <f t="shared" si="3"/>
        <v>0.91651513899116799</v>
      </c>
      <c r="AJ23" s="10">
        <v>5.7748999999999997</v>
      </c>
    </row>
    <row r="24" spans="1:36" x14ac:dyDescent="0.25">
      <c r="E24" s="21">
        <v>0.22</v>
      </c>
      <c r="F24" s="21">
        <v>-0.97549987186057585</v>
      </c>
      <c r="G24" s="22">
        <f t="shared" si="0"/>
        <v>7.6948067240801762E-4</v>
      </c>
      <c r="H24" s="22">
        <f t="shared" si="1"/>
        <v>9.3746842077452347E-2</v>
      </c>
      <c r="I24" s="22">
        <f t="shared" si="2"/>
        <v>8.1342302440549159E-4</v>
      </c>
      <c r="V24" s="26"/>
      <c r="W24" s="26"/>
      <c r="X24" s="26"/>
      <c r="Y24" s="29"/>
      <c r="Z24" s="26"/>
      <c r="AA24" s="26"/>
      <c r="AB24" s="26"/>
      <c r="AC24" s="26"/>
      <c r="AD24" s="29"/>
      <c r="AH24" s="8">
        <v>0.6</v>
      </c>
      <c r="AI24" s="12">
        <f t="shared" si="3"/>
        <v>0.8</v>
      </c>
      <c r="AJ24" s="10">
        <v>7.2751000000000001</v>
      </c>
    </row>
    <row r="25" spans="1:36" x14ac:dyDescent="0.25">
      <c r="E25" s="21">
        <v>0.23</v>
      </c>
      <c r="F25" s="21">
        <v>-0.97319062880814877</v>
      </c>
      <c r="G25" s="22">
        <f t="shared" si="0"/>
        <v>1.7315670046715824E-3</v>
      </c>
      <c r="H25" s="22">
        <f t="shared" si="1"/>
        <v>9.3734007573069947E-2</v>
      </c>
      <c r="I25" s="22">
        <f t="shared" si="2"/>
        <v>1.775497325550124E-3</v>
      </c>
      <c r="V25" s="26"/>
      <c r="W25" s="26"/>
      <c r="X25" s="26"/>
      <c r="Y25" s="29"/>
      <c r="Z25" s="26"/>
      <c r="AA25" s="26"/>
      <c r="AB25" s="26"/>
      <c r="AC25" s="26"/>
      <c r="AD25" s="29"/>
      <c r="AH25" s="8">
        <v>0.8</v>
      </c>
      <c r="AI25" s="12">
        <f t="shared" si="3"/>
        <v>0.59999999999999987</v>
      </c>
      <c r="AJ25" s="10">
        <v>8.5981000000000005</v>
      </c>
    </row>
    <row r="26" spans="1:36" x14ac:dyDescent="0.25">
      <c r="E26" s="21">
        <v>0.24</v>
      </c>
      <c r="F26" s="21">
        <v>-0.97077288796092776</v>
      </c>
      <c r="G26" s="22">
        <f t="shared" si="0"/>
        <v>2.6958095870597207E-3</v>
      </c>
      <c r="H26" s="22">
        <f t="shared" si="1"/>
        <v>9.3711232574704276E-2</v>
      </c>
      <c r="I26" s="22">
        <f t="shared" si="2"/>
        <v>2.7397185626130724E-3</v>
      </c>
      <c r="V26" s="26"/>
      <c r="W26" s="26"/>
      <c r="X26" s="26"/>
      <c r="Y26" s="29"/>
      <c r="Z26" s="26"/>
      <c r="AA26" s="26"/>
      <c r="AB26" s="26"/>
      <c r="AC26" s="26"/>
      <c r="AD26" s="29"/>
      <c r="AH26" s="8">
        <v>1</v>
      </c>
      <c r="AI26" s="12">
        <f t="shared" si="3"/>
        <v>0</v>
      </c>
      <c r="AJ26" s="10">
        <v>9.1816999999999993</v>
      </c>
    </row>
    <row r="27" spans="1:36" x14ac:dyDescent="0.25">
      <c r="E27" s="21">
        <v>0.25</v>
      </c>
      <c r="F27" s="21">
        <v>-0.96824583655185426</v>
      </c>
      <c r="G27" s="22">
        <f t="shared" si="0"/>
        <v>3.6622245722423979E-3</v>
      </c>
      <c r="H27" s="22">
        <f t="shared" si="1"/>
        <v>9.3678442617191632E-2</v>
      </c>
      <c r="I27" s="22">
        <f t="shared" si="2"/>
        <v>3.7061028252983103E-3</v>
      </c>
      <c r="AH27" s="8">
        <v>0.8</v>
      </c>
      <c r="AI27" s="12">
        <f>-SQRT(1-POWER(AH27, 2))</f>
        <v>-0.59999999999999987</v>
      </c>
      <c r="AJ27" s="10">
        <v>6.3884999999999996</v>
      </c>
    </row>
    <row r="28" spans="1:36" x14ac:dyDescent="0.25">
      <c r="E28" s="21">
        <v>0.26</v>
      </c>
      <c r="F28" s="21">
        <v>-0.96560861636586492</v>
      </c>
      <c r="G28" s="22">
        <f t="shared" si="0"/>
        <v>4.630829016108548E-3</v>
      </c>
      <c r="H28" s="22">
        <f t="shared" si="1"/>
        <v>9.3635559071453017E-2</v>
      </c>
      <c r="I28" s="22">
        <f t="shared" si="2"/>
        <v>4.6746671057216662E-3</v>
      </c>
      <c r="AH28" s="8">
        <v>0.6</v>
      </c>
      <c r="AI28" s="12">
        <f>-SQRT(1-POWER(AH28, 2))</f>
        <v>-0.8</v>
      </c>
      <c r="AJ28" s="10">
        <v>4.2706999999999997</v>
      </c>
    </row>
    <row r="29" spans="1:36" x14ac:dyDescent="0.25">
      <c r="E29" s="21">
        <v>0.27</v>
      </c>
      <c r="F29" s="21">
        <v>-0.96286032216516226</v>
      </c>
      <c r="G29" s="22">
        <f t="shared" si="0"/>
        <v>5.6016409090617336E-3</v>
      </c>
      <c r="H29" s="22">
        <f t="shared" si="1"/>
        <v>9.3582499000218672E-2</v>
      </c>
      <c r="I29" s="22">
        <f t="shared" si="2"/>
        <v>5.6454293296573635E-3</v>
      </c>
      <c r="V29" s="5"/>
      <c r="W29" s="7"/>
      <c r="AH29" s="8">
        <v>0.4</v>
      </c>
      <c r="AI29" s="14">
        <f>-SQRT(1-POWER(AH29, 2))</f>
        <v>-0.91651513899116799</v>
      </c>
      <c r="AJ29" s="10">
        <v>2.2660999999999998</v>
      </c>
    </row>
    <row r="30" spans="1:36" x14ac:dyDescent="0.25">
      <c r="E30" s="21">
        <v>0.28000000000000003</v>
      </c>
      <c r="F30" s="21">
        <v>-0.96</v>
      </c>
      <c r="G30" s="22">
        <f t="shared" si="0"/>
        <v>6.5746792095910354E-3</v>
      </c>
      <c r="H30" s="22">
        <f t="shared" si="1"/>
        <v>9.3519175003263219E-2</v>
      </c>
      <c r="I30" s="22">
        <f t="shared" si="2"/>
        <v>6.6184083900574899E-3</v>
      </c>
      <c r="V30" s="5"/>
      <c r="W30" s="7"/>
      <c r="AH30" s="8">
        <v>0.2</v>
      </c>
      <c r="AI30" s="14">
        <f>-SQRT(1-POWER(AH30, 2))</f>
        <v>-0.9797958971132712</v>
      </c>
      <c r="AJ30" s="10">
        <v>0.32490000000000002</v>
      </c>
    </row>
    <row r="31" spans="1:36" x14ac:dyDescent="0.25">
      <c r="E31" s="21">
        <v>0.28999999999999998</v>
      </c>
      <c r="F31" s="21">
        <v>-0.95702664539708615</v>
      </c>
      <c r="G31" s="22">
        <f t="shared" si="0"/>
        <v>7.5499638802741798E-3</v>
      </c>
      <c r="H31" s="22">
        <f t="shared" si="1"/>
        <v>9.3445495051428532E-2</v>
      </c>
      <c r="I31" s="22">
        <f t="shared" si="2"/>
        <v>7.5936241830012125E-3</v>
      </c>
      <c r="V31" s="6"/>
      <c r="W31" s="7"/>
      <c r="AH31" s="9">
        <v>0</v>
      </c>
      <c r="AI31" s="15">
        <f>-SQRT(1-POWER(AH31, 2))</f>
        <v>-1</v>
      </c>
      <c r="AJ31" s="11">
        <v>-1.5672999999999999</v>
      </c>
    </row>
    <row r="32" spans="1:36" x14ac:dyDescent="0.25">
      <c r="E32" s="21">
        <v>0.3</v>
      </c>
      <c r="F32" s="21">
        <v>-0.95393920141694566</v>
      </c>
      <c r="G32" s="22">
        <f t="shared" si="0"/>
        <v>8.5275159263848675E-3</v>
      </c>
      <c r="H32" s="22">
        <f t="shared" si="1"/>
        <v>9.3361362308640575E-2</v>
      </c>
      <c r="I32" s="22">
        <f t="shared" si="2"/>
        <v>8.5710976462454944E-3</v>
      </c>
    </row>
    <row r="33" spans="5:9" x14ac:dyDescent="0.25">
      <c r="E33" s="21">
        <v>0.31</v>
      </c>
      <c r="F33" s="21">
        <v>-0.95073655657074641</v>
      </c>
      <c r="G33" s="22">
        <f t="shared" si="0"/>
        <v>9.5073574372930812E-3</v>
      </c>
      <c r="H33" s="22">
        <f t="shared" si="1"/>
        <v>9.3266674941050343E-2</v>
      </c>
      <c r="I33" s="22">
        <f t="shared" si="2"/>
        <v>9.5508508005658788E-3</v>
      </c>
    </row>
    <row r="34" spans="5:9" x14ac:dyDescent="0.25">
      <c r="E34" s="21">
        <v>0.32</v>
      </c>
      <c r="F34" s="21">
        <v>-0.94741754258616084</v>
      </c>
      <c r="G34" s="22">
        <f t="shared" si="0"/>
        <v>1.0489511630865662E-2</v>
      </c>
      <c r="H34" s="22">
        <f t="shared" si="1"/>
        <v>9.3161325912343773E-2</v>
      </c>
      <c r="I34" s="22">
        <f t="shared" si="2"/>
        <v>1.0532906794094391E-2</v>
      </c>
    </row>
    <row r="35" spans="5:9" x14ac:dyDescent="0.25">
      <c r="E35" s="21">
        <v>0.33</v>
      </c>
      <c r="F35" s="21">
        <v>-0.94398093201081135</v>
      </c>
      <c r="G35" s="22">
        <f t="shared" si="0"/>
        <v>1.1474002901094654E-2</v>
      </c>
      <c r="H35" s="22">
        <f t="shared" si="1"/>
        <v>9.3045202764170873E-2</v>
      </c>
      <c r="I35" s="22">
        <f t="shared" si="2"/>
        <v>1.1517289949881783E-2</v>
      </c>
    </row>
    <row r="36" spans="5:9" x14ac:dyDescent="0.25">
      <c r="E36" s="21">
        <v>0.34</v>
      </c>
      <c r="F36" s="21">
        <v>-0.9404254356406998</v>
      </c>
      <c r="G36" s="22">
        <f t="shared" si="0"/>
        <v>1.246085686920384E-2</v>
      </c>
      <c r="H36" s="22">
        <f t="shared" si="1"/>
        <v>9.291818738054039E-2</v>
      </c>
      <c r="I36" s="22">
        <f t="shared" si="2"/>
        <v>1.2504025816934267E-2</v>
      </c>
    </row>
    <row r="37" spans="5:9" x14ac:dyDescent="0.25">
      <c r="E37" s="21">
        <v>0.35</v>
      </c>
      <c r="F37" s="21">
        <v>-0.93674969975975975</v>
      </c>
      <c r="G37" s="22">
        <f t="shared" si="0"/>
        <v>1.3450100438509024E-2</v>
      </c>
      <c r="H37" s="22">
        <f t="shared" si="1"/>
        <v>9.2780155734909289E-2</v>
      </c>
      <c r="I37" s="22">
        <f t="shared" si="2"/>
        <v>1.3493141224999994E-2</v>
      </c>
    </row>
    <row r="38" spans="5:9" x14ac:dyDescent="0.25">
      <c r="E38" s="21">
        <v>0.36</v>
      </c>
      <c r="F38" s="21">
        <v>-0.93295230317524813</v>
      </c>
      <c r="G38" s="22">
        <f t="shared" si="0"/>
        <v>1.4441761853335681E-2</v>
      </c>
      <c r="H38" s="22">
        <f t="shared" si="1"/>
        <v>9.2630977618567423E-2</v>
      </c>
      <c r="I38" s="22">
        <f t="shared" si="2"/>
        <v>1.4484664343408539E-2</v>
      </c>
    </row>
    <row r="39" spans="5:9" x14ac:dyDescent="0.25">
      <c r="E39" s="21">
        <v>0.37</v>
      </c>
      <c r="F39" s="21">
        <v>-0.92903175403212135</v>
      </c>
      <c r="G39" s="22">
        <f t="shared" si="0"/>
        <v>1.5435870762329017E-2</v>
      </c>
      <c r="H39" s="22">
        <f t="shared" si="1"/>
        <v>9.2470516348772902E-2</v>
      </c>
      <c r="I39" s="22">
        <f t="shared" si="2"/>
        <v>1.5478624744298061E-2</v>
      </c>
    </row>
    <row r="40" spans="5:9" x14ac:dyDescent="0.25">
      <c r="E40" s="21">
        <v>0.38</v>
      </c>
      <c r="F40" s="21">
        <v>-0.92498648638777425</v>
      </c>
      <c r="G40" s="22">
        <f t="shared" si="0"/>
        <v>1.6432458286526504E-2</v>
      </c>
      <c r="H40" s="22">
        <f t="shared" si="1"/>
        <v>9.2298628454931919E-2</v>
      </c>
      <c r="I40" s="22">
        <f t="shared" si="2"/>
        <v>1.6475053470599813E-2</v>
      </c>
    </row>
    <row r="41" spans="5:9" x14ac:dyDescent="0.25">
      <c r="E41" s="21">
        <v>0.39</v>
      </c>
      <c r="F41" s="21">
        <v>-0.92081485652654405</v>
      </c>
      <c r="G41" s="22">
        <f t="shared" si="0"/>
        <v>1.7431557092602242E-2</v>
      </c>
      <c r="H41" s="22">
        <f t="shared" si="1"/>
        <v>9.2115163340936154E-2</v>
      </c>
      <c r="I41" s="22">
        <f t="shared" si="2"/>
        <v>1.7473983109188879E-2</v>
      </c>
    </row>
    <row r="42" spans="5:9" x14ac:dyDescent="0.25">
      <c r="E42" s="23">
        <v>0.4</v>
      </c>
      <c r="F42" s="23">
        <v>-0.91651513899116799</v>
      </c>
      <c r="G42" s="24">
        <f t="shared" si="0"/>
        <v>1.8433201471736469E-2</v>
      </c>
      <c r="H42" s="24">
        <f t="shared" si="1"/>
        <v>9.1919962921567663E-2</v>
      </c>
      <c r="I42" s="24">
        <f t="shared" si="2"/>
        <v>1.847544786965398E-2</v>
      </c>
    </row>
    <row r="43" spans="5:9" x14ac:dyDescent="0.25">
      <c r="E43" s="21">
        <v>0.41</v>
      </c>
      <c r="F43" s="21">
        <v>-0.91208552230588558</v>
      </c>
      <c r="G43" s="22">
        <f t="shared" si="0"/>
        <v>1.9437427424613279E-2</v>
      </c>
      <c r="H43" s="22">
        <f t="shared" si="1"/>
        <v>9.1712861230652337E-2</v>
      </c>
      <c r="I43" s="22">
        <f t="shared" si="2"/>
        <v>1.9479483669188842E-2</v>
      </c>
    </row>
    <row r="44" spans="5:9" x14ac:dyDescent="0.25">
      <c r="E44" s="21">
        <v>0.42</v>
      </c>
      <c r="F44" s="21">
        <v>-0.90752410436307418</v>
      </c>
      <c r="G44" s="22">
        <f t="shared" si="0"/>
        <v>2.0444272753105102E-2</v>
      </c>
      <c r="H44" s="22">
        <f t="shared" si="1"/>
        <v>9.1493683998386699E-2</v>
      </c>
      <c r="I44" s="22">
        <f t="shared" si="2"/>
        <v>2.0486128224163087E-2</v>
      </c>
    </row>
    <row r="45" spans="5:9" x14ac:dyDescent="0.25">
      <c r="E45" s="21">
        <v>0.43</v>
      </c>
      <c r="F45" s="21">
        <v>-0.90282888744213319</v>
      </c>
      <c r="G45" s="22">
        <f t="shared" si="0"/>
        <v>2.1453777159265813E-2</v>
      </c>
      <c r="H45" s="22">
        <f t="shared" si="1"/>
        <v>9.1262248194971418E-2</v>
      </c>
      <c r="I45" s="22">
        <f t="shared" si="2"/>
        <v>2.1495421148993814E-2</v>
      </c>
    </row>
    <row r="46" spans="5:9" x14ac:dyDescent="0.25">
      <c r="E46" s="21">
        <v>0.44</v>
      </c>
      <c r="F46" s="21">
        <v>-0.89799777282574589</v>
      </c>
      <c r="G46" s="22">
        <f t="shared" si="0"/>
        <v>2.2465982352325397E-2</v>
      </c>
      <c r="H46" s="22">
        <f t="shared" si="1"/>
        <v>9.1018361537356859E-2</v>
      </c>
      <c r="I46" s="22">
        <f t="shared" si="2"/>
        <v>2.2507404063010123E-2</v>
      </c>
    </row>
    <row r="47" spans="5:9" x14ac:dyDescent="0.25">
      <c r="E47" s="21">
        <v>0.45</v>
      </c>
      <c r="F47" s="21">
        <v>-0.89302855497458755</v>
      </c>
      <c r="G47" s="22">
        <f t="shared" si="0"/>
        <v>2.3480932164459904E-2</v>
      </c>
      <c r="H47" s="22">
        <f t="shared" si="1"/>
        <v>9.0761821955533881E-2</v>
      </c>
      <c r="I47" s="22">
        <f t="shared" si="2"/>
        <v>2.3522120706083345E-2</v>
      </c>
    </row>
    <row r="48" spans="5:9" x14ac:dyDescent="0.25">
      <c r="E48" s="21">
        <v>0.46</v>
      </c>
      <c r="F48" s="21">
        <v>-0.88791891521692456</v>
      </c>
      <c r="G48" s="22">
        <f t="shared" si="0"/>
        <v>2.449867267620235E-2</v>
      </c>
      <c r="H48" s="22">
        <f t="shared" si="1"/>
        <v>9.0492417014379156E-2</v>
      </c>
      <c r="I48" s="22">
        <f t="shared" si="2"/>
        <v>2.453961706388787E-2</v>
      </c>
    </row>
    <row r="49" spans="5:9" x14ac:dyDescent="0.25">
      <c r="E49" s="21">
        <v>0.47</v>
      </c>
      <c r="F49" s="21">
        <v>-0.88266641490429443</v>
      </c>
      <c r="G49" s="22">
        <f t="shared" si="0"/>
        <v>2.5519252352464494E-2</v>
      </c>
      <c r="H49" s="22">
        <f t="shared" si="1"/>
        <v>9.0209923286583255E-2</v>
      </c>
      <c r="I49" s="22">
        <f t="shared" si="2"/>
        <v>2.5559941503761351E-2</v>
      </c>
    </row>
    <row r="50" spans="5:9" x14ac:dyDescent="0.25">
      <c r="E50" s="21">
        <v>0.48</v>
      </c>
      <c r="F50" s="21">
        <v>-0.87726848797845236</v>
      </c>
      <c r="G50" s="22">
        <f t="shared" si="0"/>
        <v>2.6542722190258966E-2</v>
      </c>
      <c r="H50" s="22">
        <f t="shared" si="1"/>
        <v>8.9914105671639391E-2</v>
      </c>
      <c r="I50" s="22">
        <f t="shared" si="2"/>
        <v>2.6583144922252621E-2</v>
      </c>
    </row>
    <row r="51" spans="5:9" x14ac:dyDescent="0.25">
      <c r="E51" s="21">
        <v>0.49</v>
      </c>
      <c r="F51" s="21">
        <v>-0.87172243288790041</v>
      </c>
      <c r="G51" s="22">
        <f t="shared" si="0"/>
        <v>2.7569135879347513E-2</v>
      </c>
      <c r="H51" s="22">
        <f t="shared" si="1"/>
        <v>8.9604716655241279E-2</v>
      </c>
      <c r="I51" s="22">
        <f t="shared" si="2"/>
        <v>2.7609280905581842E-2</v>
      </c>
    </row>
    <row r="52" spans="5:9" x14ac:dyDescent="0.25">
      <c r="E52" s="21">
        <v>0.5</v>
      </c>
      <c r="F52" s="21">
        <v>-0.8660254037844386</v>
      </c>
      <c r="G52" s="22">
        <f t="shared" si="0"/>
        <v>2.8598549977197938E-2</v>
      </c>
      <c r="H52" s="22">
        <f t="shared" si="1"/>
        <v>8.928149550271719E-2</v>
      </c>
      <c r="I52" s="22">
        <f t="shared" si="2"/>
        <v>2.8638405904393947E-2</v>
      </c>
    </row>
    <row r="53" spans="5:9" x14ac:dyDescent="0.25">
      <c r="E53" s="21">
        <v>0.51</v>
      </c>
      <c r="F53" s="21">
        <v>-0.86017440092111552</v>
      </c>
      <c r="G53" s="22">
        <f t="shared" si="0"/>
        <v>2.9631024099812119E-2</v>
      </c>
      <c r="H53" s="22">
        <f t="shared" si="1"/>
        <v>8.8944167379296737E-2</v>
      </c>
      <c r="I53" s="22">
        <f t="shared" si="2"/>
        <v>2.96705794243661E-2</v>
      </c>
    </row>
    <row r="54" spans="5:9" x14ac:dyDescent="0.25">
      <c r="E54" s="21">
        <v>0.52</v>
      </c>
      <c r="F54" s="21">
        <v>-0.85416626016250496</v>
      </c>
      <c r="G54" s="22">
        <f t="shared" si="0"/>
        <v>3.0666621130195373E-2</v>
      </c>
      <c r="H54" s="22">
        <f t="shared" si="1"/>
        <v>8.8592442389049508E-2</v>
      </c>
      <c r="I54" s="22">
        <f t="shared" si="2"/>
        <v>3.070586423443766E-2</v>
      </c>
    </row>
    <row r="55" spans="5:9" x14ac:dyDescent="0.25">
      <c r="E55" s="21">
        <v>0.53</v>
      </c>
      <c r="F55" s="21">
        <v>-0.8479976415061542</v>
      </c>
      <c r="G55" s="22">
        <f t="shared" si="0"/>
        <v>3.1705407446477492E-2</v>
      </c>
      <c r="H55" s="22">
        <f t="shared" si="1"/>
        <v>8.8226014523228077E-2</v>
      </c>
      <c r="I55" s="22">
        <f t="shared" si="2"/>
        <v>3.1744326594670753E-2</v>
      </c>
    </row>
    <row r="56" spans="5:9" x14ac:dyDescent="0.25">
      <c r="E56" s="21">
        <v>0.54</v>
      </c>
      <c r="F56" s="21">
        <v>-0.84166501650003245</v>
      </c>
      <c r="G56" s="22">
        <f t="shared" si="0"/>
        <v>3.2747453171974292E-2</v>
      </c>
      <c r="H56" s="22">
        <f t="shared" si="1"/>
        <v>8.7844560507463129E-2</v>
      </c>
      <c r="I56" s="22">
        <f t="shared" si="2"/>
        <v>3.2786036506028036E-2</v>
      </c>
    </row>
    <row r="57" spans="5:9" x14ac:dyDescent="0.25">
      <c r="E57" s="21">
        <v>0.55000000000000004</v>
      </c>
      <c r="F57" s="21">
        <v>-0.83516465442450327</v>
      </c>
      <c r="G57" s="22">
        <f t="shared" si="0"/>
        <v>3.3792832449802669E-2</v>
      </c>
      <c r="H57" s="22">
        <f t="shared" si="1"/>
        <v>8.7447738535765263E-2</v>
      </c>
      <c r="I57" s="22">
        <f t="shared" si="2"/>
        <v>3.3831067984677769E-2</v>
      </c>
    </row>
    <row r="58" spans="5:9" x14ac:dyDescent="0.25">
      <c r="E58" s="21">
        <v>0.56000000000000005</v>
      </c>
      <c r="F58" s="21">
        <v>-0.82849260708831907</v>
      </c>
      <c r="G58" s="22">
        <f t="shared" si="0"/>
        <v>3.4841623745040046E-2</v>
      </c>
      <c r="H58" s="22">
        <f t="shared" si="1"/>
        <v>8.7035186877544302E-2</v>
      </c>
      <c r="I58" s="22">
        <f t="shared" si="2"/>
        <v>3.4879499363814091E-2</v>
      </c>
    </row>
    <row r="59" spans="5:9" x14ac:dyDescent="0.25">
      <c r="E59" s="21">
        <v>0.56999999999999995</v>
      </c>
      <c r="F59" s="21">
        <v>-0.82164469206585888</v>
      </c>
      <c r="G59" s="22">
        <f t="shared" si="0"/>
        <v>3.5893910177862115E-2</v>
      </c>
      <c r="H59" s="22">
        <f t="shared" si="1"/>
        <v>8.6606522341816539E-2</v>
      </c>
      <c r="I59" s="22">
        <f t="shared" si="2"/>
        <v>3.5931413626422833E-2</v>
      </c>
    </row>
    <row r="60" spans="5:9" x14ac:dyDescent="0.25">
      <c r="E60" s="21">
        <v>0.57999999999999996</v>
      </c>
      <c r="F60" s="21">
        <v>-0.81461647417665206</v>
      </c>
      <c r="G60" s="22">
        <f t="shared" si="0"/>
        <v>3.694977989161282E-2</v>
      </c>
      <c r="H60" s="22">
        <f t="shared" si="1"/>
        <v>8.6161338580371213E-2</v>
      </c>
      <c r="I60" s="22">
        <f t="shared" si="2"/>
        <v>3.6986898772942624E-2</v>
      </c>
    </row>
    <row r="61" spans="5:9" x14ac:dyDescent="0.25">
      <c r="E61" s="21">
        <v>0.59</v>
      </c>
      <c r="F61" s="21">
        <v>-0.80740324497737814</v>
      </c>
      <c r="G61" s="22">
        <f t="shared" si="0"/>
        <v>3.8009326460373694E-2</v>
      </c>
      <c r="H61" s="22">
        <f t="shared" si="1"/>
        <v>8.5699204208841612E-2</v>
      </c>
      <c r="I61" s="22">
        <f t="shared" si="2"/>
        <v>3.8046048228383839E-2</v>
      </c>
    </row>
    <row r="62" spans="5:9" x14ac:dyDescent="0.25">
      <c r="E62" s="23">
        <v>0.6</v>
      </c>
      <c r="F62" s="23">
        <v>-0.8</v>
      </c>
      <c r="G62" s="24">
        <f t="shared" si="0"/>
        <v>3.9072649341325857E-2</v>
      </c>
      <c r="H62" s="24">
        <f t="shared" si="1"/>
        <v>8.5219660721278317E-2</v>
      </c>
      <c r="I62" s="24">
        <f t="shared" si="2"/>
        <v>3.9108961294193105E-2</v>
      </c>
    </row>
    <row r="63" spans="5:9" x14ac:dyDescent="0.25">
      <c r="E63" s="21">
        <v>0.61</v>
      </c>
      <c r="F63" s="21">
        <v>-0.79240141342630122</v>
      </c>
      <c r="G63" s="22">
        <f t="shared" si="0"/>
        <v>4.0139854378060093E-2</v>
      </c>
      <c r="H63" s="22">
        <f t="shared" si="1"/>
        <v>8.4722220169847595E-2</v>
      </c>
      <c r="I63" s="22">
        <f t="shared" si="2"/>
        <v>4.0175743651012633E-2</v>
      </c>
    </row>
    <row r="64" spans="5:9" x14ac:dyDescent="0.25">
      <c r="E64" s="21">
        <v>0.62</v>
      </c>
      <c r="F64" s="21">
        <v>-0.7846018098373212</v>
      </c>
      <c r="G64" s="22">
        <f t="shared" si="0"/>
        <v>4.1211054362019432E-2</v>
      </c>
      <c r="H64" s="22">
        <f t="shared" si="1"/>
        <v>8.4206362576533841E-2</v>
      </c>
      <c r="I64" s="22">
        <f t="shared" si="2"/>
        <v>4.1246507919511288E-2</v>
      </c>
    </row>
    <row r="65" spans="5:9" x14ac:dyDescent="0.25">
      <c r="E65" s="21">
        <v>0.63</v>
      </c>
      <c r="F65" s="21">
        <v>-0.77659513261415691</v>
      </c>
      <c r="G65" s="22">
        <f t="shared" si="0"/>
        <v>4.2286369660491416E-2</v>
      </c>
      <c r="H65" s="22">
        <f t="shared" si="1"/>
        <v>8.36715330380427E-2</v>
      </c>
      <c r="I65" s="22">
        <f t="shared" si="2"/>
        <v>4.2321374287696098E-2</v>
      </c>
    </row>
    <row r="66" spans="5:9" x14ac:dyDescent="0.25">
      <c r="E66" s="21">
        <v>0.64</v>
      </c>
      <c r="F66" s="21">
        <v>-0.7683749084919419</v>
      </c>
      <c r="G66" s="22">
        <f t="shared" si="0"/>
        <v>4.3365928921050886E-2</v>
      </c>
      <c r="H66" s="22">
        <f t="shared" si="1"/>
        <v>8.3117138478260688E-2</v>
      </c>
      <c r="I66" s="22">
        <f t="shared" si="2"/>
        <v>4.3400471214594956E-2</v>
      </c>
    </row>
    <row r="67" spans="5:9" x14ac:dyDescent="0.25">
      <c r="E67" s="21">
        <v>0.65</v>
      </c>
      <c r="F67" s="21">
        <v>-0.75993420767853315</v>
      </c>
      <c r="G67" s="22">
        <f t="shared" ref="G67:G130" si="4">$B$12*E67+$B$13*F67</f>
        <v>4.4449869864148284E-2</v>
      </c>
      <c r="H67" s="22">
        <f t="shared" ref="H67:H130" si="5">$B$13*E67-$B$12*F67</f>
        <v>8.2542543994356524E-2</v>
      </c>
      <c r="I67" s="22">
        <f t="shared" ref="I67:I130" si="6">$B$14*G67+($B$14^2*H67^2)/200</f>
        <v>4.4483936221993585E-2</v>
      </c>
    </row>
    <row r="68" spans="5:9" x14ac:dyDescent="0.25">
      <c r="E68" s="21">
        <v>0.66</v>
      </c>
      <c r="F68" s="21">
        <v>-0.751265598839718</v>
      </c>
      <c r="G68" s="22">
        <f t="shared" si="4"/>
        <v>4.5538340177719135E-2</v>
      </c>
      <c r="H68" s="22">
        <f t="shared" si="5"/>
        <v>8.1947068732556458E-2</v>
      </c>
      <c r="I68" s="22">
        <f t="shared" si="6"/>
        <v>4.5571916788088425E-2</v>
      </c>
    </row>
    <row r="69" spans="5:9" x14ac:dyDescent="0.25">
      <c r="E69" s="21">
        <v>0.67</v>
      </c>
      <c r="F69" s="21">
        <v>-0.74236109811869855</v>
      </c>
      <c r="G69" s="22">
        <f t="shared" si="4"/>
        <v>4.663149853035433E-2</v>
      </c>
      <c r="H69" s="22">
        <f t="shared" si="5"/>
        <v>8.1329981217344208E-2</v>
      </c>
      <c r="I69" s="22">
        <f t="shared" si="6"/>
        <v>4.6664571359578397E-2</v>
      </c>
    </row>
    <row r="70" spans="5:9" x14ac:dyDescent="0.25">
      <c r="E70" s="21">
        <v>0.68</v>
      </c>
      <c r="F70" s="21">
        <v>-0.73321211119293428</v>
      </c>
      <c r="G70" s="22">
        <f t="shared" si="4"/>
        <v>4.7729515722843729E-2</v>
      </c>
      <c r="H70" s="22">
        <f t="shared" si="5"/>
        <v>8.069049404274839E-2</v>
      </c>
      <c r="I70" s="22">
        <f t="shared" si="6"/>
        <v>4.7762070501988045E-2</v>
      </c>
    </row>
    <row r="71" spans="5:9" x14ac:dyDescent="0.25">
      <c r="E71" s="21">
        <v>0.69</v>
      </c>
      <c r="F71" s="21">
        <v>-0.7238093671679029</v>
      </c>
      <c r="G71" s="22">
        <f t="shared" si="4"/>
        <v>4.8832576001950179E-2</v>
      </c>
      <c r="H71" s="22">
        <f t="shared" si="5"/>
        <v>8.0027757815733902E-2</v>
      </c>
      <c r="I71" s="22">
        <f t="shared" si="6"/>
        <v>4.8864598212055251E-2</v>
      </c>
    </row>
    <row r="72" spans="5:9" x14ac:dyDescent="0.25">
      <c r="E72" s="21">
        <v>0.7</v>
      </c>
      <c r="F72" s="21">
        <v>-0.71414284285428498</v>
      </c>
      <c r="G72" s="22">
        <f t="shared" si="4"/>
        <v>4.9940878565300363E-2</v>
      </c>
      <c r="H72" s="22">
        <f t="shared" si="5"/>
        <v>7.9340854218529322E-2</v>
      </c>
      <c r="I72" s="22">
        <f t="shared" si="6"/>
        <v>4.9972353421040991E-2</v>
      </c>
    </row>
    <row r="73" spans="5:9" x14ac:dyDescent="0.25">
      <c r="E73" s="21">
        <v>0.71</v>
      </c>
      <c r="F73" s="21">
        <v>-0.70420167565833014</v>
      </c>
      <c r="G73" s="22">
        <f t="shared" si="4"/>
        <v>5.1054639292573381E-2</v>
      </c>
      <c r="H73" s="22">
        <f t="shared" si="5"/>
        <v>7.8628788027701554E-2</v>
      </c>
      <c r="I73" s="22">
        <f t="shared" si="6"/>
        <v>5.1085551724106906E-2</v>
      </c>
    </row>
    <row r="74" spans="5:9" x14ac:dyDescent="0.25">
      <c r="E74" s="21">
        <v>0.72</v>
      </c>
      <c r="F74" s="21">
        <v>-0.69397406291589891</v>
      </c>
      <c r="G74" s="22">
        <f t="shared" si="4"/>
        <v>5.2174092746103615E-2</v>
      </c>
      <c r="H74" s="22">
        <f t="shared" si="5"/>
        <v>7.7890477891209384E-2</v>
      </c>
      <c r="I74" s="22">
        <f t="shared" si="6"/>
        <v>5.2204427378834219E-2</v>
      </c>
    </row>
    <row r="75" spans="5:9" x14ac:dyDescent="0.25">
      <c r="E75" s="21">
        <v>0.73</v>
      </c>
      <c r="F75" s="21">
        <v>-0.6834471449936711</v>
      </c>
      <c r="G75" s="22">
        <f t="shared" si="4"/>
        <v>5.3299494494089494E-2</v>
      </c>
      <c r="H75" s="22">
        <f t="shared" si="5"/>
        <v>7.7124745618215973E-2</v>
      </c>
      <c r="I75" s="22">
        <f t="shared" si="6"/>
        <v>5.3329235626022868E-2</v>
      </c>
    </row>
    <row r="76" spans="5:9" x14ac:dyDescent="0.25">
      <c r="E76" s="21">
        <v>0.74</v>
      </c>
      <c r="F76" s="21">
        <v>-0.67260686883200949</v>
      </c>
      <c r="G76" s="22">
        <f t="shared" si="4"/>
        <v>5.4431123822498539E-2</v>
      </c>
      <c r="H76" s="22">
        <f t="shared" si="5"/>
        <v>7.6330303676978989E-2</v>
      </c>
      <c r="I76" s="22">
        <f t="shared" si="6"/>
        <v>5.4460255398795641E-2</v>
      </c>
    </row>
    <row r="77" spans="5:9" x14ac:dyDescent="0.25">
      <c r="E77" s="21">
        <v>0.75</v>
      </c>
      <c r="F77" s="21">
        <v>-0.66143782776614768</v>
      </c>
      <c r="G77" s="22">
        <f t="shared" si="4"/>
        <v>5.5569286918409358E-2</v>
      </c>
      <c r="H77" s="22">
        <f t="shared" si="5"/>
        <v>7.5505740519377071E-2</v>
      </c>
      <c r="I77" s="22">
        <f t="shared" si="6"/>
        <v>5.5597792502666256E-2</v>
      </c>
    </row>
    <row r="78" spans="5:9" x14ac:dyDescent="0.25">
      <c r="E78" s="21">
        <v>0.76</v>
      </c>
      <c r="F78" s="21">
        <v>-0.64992307237087688</v>
      </c>
      <c r="G78" s="22">
        <f t="shared" si="4"/>
        <v>5.6714320629223186E-2</v>
      </c>
      <c r="H78" s="22">
        <f t="shared" si="5"/>
        <v>7.464950325062901E-2</v>
      </c>
      <c r="I78" s="22">
        <f t="shared" si="6"/>
        <v>5.6742183370901013E-2</v>
      </c>
    </row>
    <row r="79" spans="5:9" x14ac:dyDescent="0.25">
      <c r="E79" s="21">
        <v>0.77</v>
      </c>
      <c r="F79" s="21">
        <v>-0.63804388563797088</v>
      </c>
      <c r="G79" s="22">
        <f t="shared" si="4"/>
        <v>5.7866596930715164E-2</v>
      </c>
      <c r="H79" s="22">
        <f t="shared" si="5"/>
        <v>7.3759877031202709E-2</v>
      </c>
      <c r="I79" s="22">
        <f t="shared" si="6"/>
        <v>5.7893799528013455E-2</v>
      </c>
    </row>
    <row r="80" spans="5:9" x14ac:dyDescent="0.25">
      <c r="E80" s="21">
        <v>0.78</v>
      </c>
      <c r="F80" s="21">
        <v>-0.62577951388648057</v>
      </c>
      <c r="G80" s="22">
        <f t="shared" si="4"/>
        <v>5.9026528274836218E-2</v>
      </c>
      <c r="H80" s="22">
        <f t="shared" si="5"/>
        <v>7.2834960422999889E-2</v>
      </c>
      <c r="I80" s="22">
        <f t="shared" si="6"/>
        <v>5.9053052932135315E-2</v>
      </c>
    </row>
    <row r="81" spans="5:9" x14ac:dyDescent="0.25">
      <c r="E81" s="21">
        <v>0.79</v>
      </c>
      <c r="F81" s="21">
        <v>-0.61310684223877321</v>
      </c>
      <c r="G81" s="22">
        <f t="shared" si="4"/>
        <v>6.0194574039197361E-2</v>
      </c>
      <c r="H81" s="22">
        <f t="shared" si="5"/>
        <v>7.1872635656691941E-2</v>
      </c>
      <c r="I81" s="22">
        <f t="shared" si="6"/>
        <v>6.0220402417978561E-2</v>
      </c>
    </row>
    <row r="82" spans="5:9" x14ac:dyDescent="0.25">
      <c r="E82" s="25">
        <v>0.8</v>
      </c>
      <c r="F82" s="25">
        <v>-0.59999999999999987</v>
      </c>
      <c r="G82" s="24">
        <f t="shared" si="4"/>
        <v>6.137124836963076E-2</v>
      </c>
      <c r="H82" s="24">
        <f t="shared" si="5"/>
        <v>7.0870532476855944E-2</v>
      </c>
      <c r="I82" s="24">
        <f t="shared" si="6"/>
        <v>6.1396361531498522E-2</v>
      </c>
    </row>
    <row r="83" spans="5:9" x14ac:dyDescent="0.25">
      <c r="E83" s="21">
        <v>0.81</v>
      </c>
      <c r="F83" s="21">
        <v>-0.58642987645582989</v>
      </c>
      <c r="G83" s="22">
        <f t="shared" si="4"/>
        <v>6.2557129803069086E-2</v>
      </c>
      <c r="H83" s="22">
        <f t="shared" si="5"/>
        <v>6.982598377969311E-2</v>
      </c>
      <c r="I83" s="22">
        <f t="shared" si="6"/>
        <v>6.2581508143123091E-2</v>
      </c>
    </row>
    <row r="84" spans="5:9" x14ac:dyDescent="0.25">
      <c r="E84" s="21">
        <v>0.82</v>
      </c>
      <c r="F84" s="21">
        <v>-0.57236352085016751</v>
      </c>
      <c r="G84" s="22">
        <f t="shared" si="4"/>
        <v>6.3752873192194554E-2</v>
      </c>
      <c r="H84" s="22">
        <f t="shared" si="5"/>
        <v>6.873597063939639E-2</v>
      </c>
      <c r="I84" s="22">
        <f t="shared" si="6"/>
        <v>6.3776496360493248E-2</v>
      </c>
    </row>
    <row r="85" spans="5:9" x14ac:dyDescent="0.25">
      <c r="E85" s="21">
        <v>0.83</v>
      </c>
      <c r="F85" s="21">
        <v>-0.55776339069537362</v>
      </c>
      <c r="G85" s="22">
        <f t="shared" si="4"/>
        <v>6.4959224644278765E-2</v>
      </c>
      <c r="H85" s="22">
        <f t="shared" si="5"/>
        <v>6.7597053438845436E-2</v>
      </c>
      <c r="I85" s="22">
        <f t="shared" si="6"/>
        <v>6.4982071452446832E-2</v>
      </c>
    </row>
    <row r="86" spans="5:9" x14ac:dyDescent="0.25">
      <c r="E86" s="21">
        <v>0.84</v>
      </c>
      <c r="F86" s="21">
        <v>-0.54258639865002156</v>
      </c>
      <c r="G86" s="22">
        <f t="shared" si="4"/>
        <v>6.6177040463226311E-2</v>
      </c>
      <c r="H86" s="22">
        <f t="shared" si="5"/>
        <v>6.6405284545196466E-2</v>
      </c>
      <c r="I86" s="22">
        <f t="shared" si="6"/>
        <v>6.619908877230396E-2</v>
      </c>
    </row>
    <row r="87" spans="5:9" x14ac:dyDescent="0.25">
      <c r="E87" s="21">
        <v>0.85</v>
      </c>
      <c r="F87" s="21">
        <v>-0.52678268764263703</v>
      </c>
      <c r="G87" s="22">
        <f t="shared" si="4"/>
        <v>6.7407311492369809E-2</v>
      </c>
      <c r="H87" s="22">
        <f t="shared" si="5"/>
        <v>6.515609608755446E-2</v>
      </c>
      <c r="I87" s="22">
        <f t="shared" si="6"/>
        <v>6.7428538076656663E-2</v>
      </c>
    </row>
    <row r="88" spans="5:9" x14ac:dyDescent="0.25">
      <c r="E88" s="21">
        <v>0.86</v>
      </c>
      <c r="F88" s="21">
        <v>-0.51029403288692299</v>
      </c>
      <c r="G88" s="22">
        <f t="shared" si="4"/>
        <v>6.8651194872303173E-2</v>
      </c>
      <c r="H88" s="22">
        <f t="shared" si="5"/>
        <v>6.3844153550697613E-2</v>
      </c>
      <c r="I88" s="22">
        <f t="shared" si="6"/>
        <v>6.8671575252016198E-2</v>
      </c>
    </row>
    <row r="89" spans="5:9" x14ac:dyDescent="0.25">
      <c r="E89" s="21">
        <v>0.87</v>
      </c>
      <c r="F89" s="21">
        <v>-0.49305172142484199</v>
      </c>
      <c r="G89" s="22">
        <f t="shared" si="4"/>
        <v>6.9910056182157398E-2</v>
      </c>
      <c r="H89" s="22">
        <f t="shared" si="5"/>
        <v>6.2463161500260267E-2</v>
      </c>
      <c r="I89" s="22">
        <f t="shared" si="6"/>
        <v>6.9929564414880435E-2</v>
      </c>
    </row>
    <row r="90" spans="5:9" x14ac:dyDescent="0.25">
      <c r="E90" s="21">
        <v>0.88</v>
      </c>
      <c r="F90" s="21">
        <v>-0.4749736834815167</v>
      </c>
      <c r="G90" s="22">
        <f t="shared" si="4"/>
        <v>7.1185526450126546E-2</v>
      </c>
      <c r="H90" s="22">
        <f t="shared" si="5"/>
        <v>6.1005600759424822E-2</v>
      </c>
      <c r="I90" s="22">
        <f t="shared" si="6"/>
        <v>7.1204134866746635E-2</v>
      </c>
    </row>
    <row r="91" spans="5:9" x14ac:dyDescent="0.25">
      <c r="E91" s="21">
        <v>0.89</v>
      </c>
      <c r="F91" s="21">
        <v>-0.45596052460711989</v>
      </c>
      <c r="G91" s="22">
        <f t="shared" si="4"/>
        <v>7.2479581009398067E-2</v>
      </c>
      <c r="H91" s="22">
        <f t="shared" si="5"/>
        <v>5.9462364876467069E-2</v>
      </c>
      <c r="I91" s="22">
        <f t="shared" si="6"/>
        <v>7.2497259873581577E-2</v>
      </c>
    </row>
    <row r="92" spans="5:9" x14ac:dyDescent="0.25">
      <c r="E92" s="21">
        <v>0.9</v>
      </c>
      <c r="F92" s="21">
        <v>-0.43588989435406728</v>
      </c>
      <c r="G92" s="22">
        <f t="shared" si="4"/>
        <v>7.3794651413243123E-2</v>
      </c>
      <c r="H92" s="22">
        <f t="shared" si="5"/>
        <v>5.7822244186800084E-2</v>
      </c>
      <c r="I92" s="22">
        <f t="shared" si="6"/>
        <v>7.3811368472857117E-2</v>
      </c>
    </row>
    <row r="93" spans="5:9" x14ac:dyDescent="0.25">
      <c r="E93" s="21">
        <v>0.91</v>
      </c>
      <c r="F93" s="21">
        <v>-0.41460824883255754</v>
      </c>
      <c r="G93" s="22">
        <f t="shared" si="4"/>
        <v>7.5133789143326773E-2</v>
      </c>
      <c r="H93" s="22">
        <f t="shared" si="5"/>
        <v>5.6071171103929271E-2</v>
      </c>
      <c r="I93" s="22">
        <f t="shared" si="6"/>
        <v>7.5149509024471609E-2</v>
      </c>
    </row>
    <row r="94" spans="5:9" x14ac:dyDescent="0.25">
      <c r="E94" s="21">
        <v>0.92</v>
      </c>
      <c r="F94" s="21">
        <v>-0.39191835884530846</v>
      </c>
      <c r="G94" s="22">
        <f t="shared" si="4"/>
        <v>7.6500913869002818E-2</v>
      </c>
      <c r="H94" s="22">
        <f t="shared" si="5"/>
        <v>5.4191075623274111E-2</v>
      </c>
      <c r="I94" s="22">
        <f t="shared" si="6"/>
        <v>7.6515597232388849E-2</v>
      </c>
    </row>
    <row r="95" spans="5:9" x14ac:dyDescent="0.25">
      <c r="E95" s="21">
        <v>0.93</v>
      </c>
      <c r="F95" s="21">
        <v>-0.36755951898978195</v>
      </c>
      <c r="G95" s="22">
        <f t="shared" si="4"/>
        <v>7.7901206765222941E-2</v>
      </c>
      <c r="H95" s="22">
        <f t="shared" si="5"/>
        <v>5.2158072093607732E-2</v>
      </c>
      <c r="I95" s="22">
        <f t="shared" si="6"/>
        <v>7.7914809087645545E-2</v>
      </c>
    </row>
    <row r="96" spans="5:9" x14ac:dyDescent="0.25">
      <c r="E96" s="21">
        <v>0.94</v>
      </c>
      <c r="F96" s="21">
        <v>-0.34117444218463971</v>
      </c>
      <c r="G96" s="22">
        <f t="shared" si="4"/>
        <v>7.9341768440023552E-2</v>
      </c>
      <c r="H96" s="22">
        <f t="shared" si="5"/>
        <v>4.9939426116142764E-2</v>
      </c>
      <c r="I96" s="22">
        <f t="shared" si="6"/>
        <v>7.9354238171427602E-2</v>
      </c>
    </row>
    <row r="97" spans="5:9" x14ac:dyDescent="0.25">
      <c r="E97" s="21">
        <v>0.95</v>
      </c>
      <c r="F97" s="21">
        <v>-0.31224989991991997</v>
      </c>
      <c r="G97" s="22">
        <f t="shared" si="4"/>
        <v>8.0832798631018152E-2</v>
      </c>
      <c r="H97" s="22">
        <f t="shared" si="5"/>
        <v>4.7488116044725026E-2</v>
      </c>
      <c r="I97" s="22">
        <f t="shared" si="6"/>
        <v>8.0844074236845545E-2</v>
      </c>
    </row>
    <row r="98" spans="5:9" x14ac:dyDescent="0.25">
      <c r="E98" s="21">
        <v>0.96</v>
      </c>
      <c r="F98" s="21">
        <v>-0.28000000000000003</v>
      </c>
      <c r="G98" s="22">
        <f t="shared" si="4"/>
        <v>8.2389915905827685E-2</v>
      </c>
      <c r="H98" s="22">
        <f t="shared" si="5"/>
        <v>4.4732138972227151E-2</v>
      </c>
      <c r="I98" s="22">
        <f t="shared" si="6"/>
        <v>8.2399920727112844E-2</v>
      </c>
    </row>
    <row r="99" spans="5:9" x14ac:dyDescent="0.25">
      <c r="E99" s="21">
        <v>0.97</v>
      </c>
      <c r="F99" s="21">
        <v>-0.24310491562286443</v>
      </c>
      <c r="G99" s="22">
        <f t="shared" si="4"/>
        <v>8.4039350075958169E-2</v>
      </c>
      <c r="H99" s="22">
        <f t="shared" si="5"/>
        <v>4.1550573266930395E-2</v>
      </c>
      <c r="I99" s="22">
        <f t="shared" si="6"/>
        <v>8.4047982326652226E-2</v>
      </c>
    </row>
    <row r="100" spans="5:9" x14ac:dyDescent="0.25">
      <c r="E100" s="21">
        <v>0.98</v>
      </c>
      <c r="F100" s="21">
        <v>-0.1989974874213242</v>
      </c>
      <c r="G100" s="22">
        <f t="shared" si="4"/>
        <v>8.5832120037377196E-2</v>
      </c>
      <c r="H100" s="22">
        <f t="shared" si="5"/>
        <v>3.770821753794884E-2</v>
      </c>
      <c r="I100" s="22">
        <f t="shared" si="6"/>
        <v>8.5839229585726637E-2</v>
      </c>
    </row>
    <row r="101" spans="5:9" x14ac:dyDescent="0.25">
      <c r="E101" s="21">
        <v>0.99</v>
      </c>
      <c r="F101" s="21">
        <v>-0.14106735979665894</v>
      </c>
      <c r="G101" s="22">
        <f t="shared" si="4"/>
        <v>8.7899597861842538E-2</v>
      </c>
      <c r="H101" s="22">
        <f t="shared" si="5"/>
        <v>3.2599435512388364E-2</v>
      </c>
      <c r="I101" s="22">
        <f t="shared" si="6"/>
        <v>8.7904911477821174E-2</v>
      </c>
    </row>
    <row r="102" spans="5:9" x14ac:dyDescent="0.25">
      <c r="E102" s="23">
        <v>1</v>
      </c>
      <c r="F102" s="23">
        <v>0</v>
      </c>
      <c r="G102" s="24">
        <f t="shared" si="4"/>
        <v>9.1619318181818177E-2</v>
      </c>
      <c r="H102" s="24">
        <f t="shared" si="5"/>
        <v>1.9873676959706307E-2</v>
      </c>
      <c r="I102" s="24">
        <f t="shared" si="6"/>
        <v>9.1621292996997672E-2</v>
      </c>
    </row>
    <row r="103" spans="5:9" x14ac:dyDescent="0.25">
      <c r="E103" s="21">
        <v>0.99</v>
      </c>
      <c r="F103" s="21">
        <v>0.14106735979665894</v>
      </c>
      <c r="G103" s="22">
        <f t="shared" si="4"/>
        <v>9.3506652138157453E-2</v>
      </c>
      <c r="H103" s="22">
        <f t="shared" si="5"/>
        <v>6.7504448678301215E-3</v>
      </c>
      <c r="I103" s="22">
        <f t="shared" si="6"/>
        <v>9.3506879980687019E-2</v>
      </c>
    </row>
    <row r="104" spans="5:9" x14ac:dyDescent="0.25">
      <c r="E104" s="21">
        <v>0.98</v>
      </c>
      <c r="F104" s="21">
        <v>0.1989974874213242</v>
      </c>
      <c r="G104" s="22">
        <f t="shared" si="4"/>
        <v>9.3741743598986432E-2</v>
      </c>
      <c r="H104" s="22">
        <f t="shared" si="5"/>
        <v>1.2441893030755193E-3</v>
      </c>
      <c r="I104" s="22">
        <f t="shared" si="6"/>
        <v>9.3741751339021545E-2</v>
      </c>
    </row>
    <row r="105" spans="5:9" x14ac:dyDescent="0.25">
      <c r="E105" s="21">
        <v>0.97</v>
      </c>
      <c r="F105" s="21">
        <v>0.24310491562286443</v>
      </c>
      <c r="G105" s="22">
        <f t="shared" si="4"/>
        <v>9.3702127196769097E-2</v>
      </c>
      <c r="H105" s="22">
        <f t="shared" si="5"/>
        <v>-2.9956399651001608E-3</v>
      </c>
      <c r="I105" s="22">
        <f t="shared" si="6"/>
        <v>9.37021720660631E-2</v>
      </c>
    </row>
    <row r="106" spans="5:9" x14ac:dyDescent="0.25">
      <c r="E106" s="21">
        <v>0.96</v>
      </c>
      <c r="F106" s="21">
        <v>0.28000000000000003</v>
      </c>
      <c r="G106" s="22">
        <f t="shared" si="4"/>
        <v>9.3519175003263219E-2</v>
      </c>
      <c r="H106" s="22">
        <f t="shared" si="5"/>
        <v>-6.5746792095910354E-3</v>
      </c>
      <c r="I106" s="22">
        <f t="shared" si="6"/>
        <v>9.3519391135296767E-2</v>
      </c>
    </row>
    <row r="107" spans="5:9" x14ac:dyDescent="0.25">
      <c r="E107" s="21">
        <v>0.95</v>
      </c>
      <c r="F107" s="21">
        <v>0.31224989991991997</v>
      </c>
      <c r="G107" s="22">
        <f t="shared" si="4"/>
        <v>9.324390591443639E-2</v>
      </c>
      <c r="H107" s="22">
        <f t="shared" si="5"/>
        <v>-9.7281298212830401E-3</v>
      </c>
      <c r="I107" s="22">
        <f t="shared" si="6"/>
        <v>9.3244379096985491E-2</v>
      </c>
    </row>
    <row r="108" spans="5:9" x14ac:dyDescent="0.25">
      <c r="E108" s="21">
        <v>0.94</v>
      </c>
      <c r="F108" s="21">
        <v>0.34117444218463971</v>
      </c>
      <c r="G108" s="22">
        <f t="shared" si="4"/>
        <v>9.2902549741794599E-2</v>
      </c>
      <c r="H108" s="22">
        <f t="shared" si="5"/>
        <v>-1.2576913431894911E-2</v>
      </c>
      <c r="I108" s="22">
        <f t="shared" si="6"/>
        <v>9.2903340635551959E-2</v>
      </c>
    </row>
    <row r="109" spans="5:9" x14ac:dyDescent="0.25">
      <c r="E109" s="21">
        <v>0.93</v>
      </c>
      <c r="F109" s="21">
        <v>0.36755951898978195</v>
      </c>
      <c r="G109" s="22">
        <f t="shared" si="4"/>
        <v>9.2510725052958875E-2</v>
      </c>
      <c r="H109" s="22">
        <f t="shared" si="5"/>
        <v>-1.5193032948554005E-2</v>
      </c>
      <c r="I109" s="22">
        <f t="shared" si="6"/>
        <v>9.2511879194209751E-2</v>
      </c>
    </row>
    <row r="110" spans="5:9" x14ac:dyDescent="0.25">
      <c r="E110" s="21">
        <v>0.92</v>
      </c>
      <c r="F110" s="21">
        <v>0.39191835884530846</v>
      </c>
      <c r="G110" s="22">
        <f t="shared" si="4"/>
        <v>9.2078631585542636E-2</v>
      </c>
      <c r="H110" s="22">
        <f t="shared" si="5"/>
        <v>-1.7623510017414502E-2</v>
      </c>
      <c r="I110" s="22">
        <f t="shared" si="6"/>
        <v>9.2080184526069309E-2</v>
      </c>
    </row>
    <row r="111" spans="5:9" x14ac:dyDescent="0.25">
      <c r="E111" s="21">
        <v>0.91</v>
      </c>
      <c r="F111" s="21">
        <v>0.41460824883255754</v>
      </c>
      <c r="G111" s="22">
        <f t="shared" si="4"/>
        <v>9.1613369947582318E-2</v>
      </c>
      <c r="H111" s="22">
        <f t="shared" si="5"/>
        <v>-1.9901079037263791E-2</v>
      </c>
      <c r="I111" s="22">
        <f t="shared" si="6"/>
        <v>9.1615350212316551E-2</v>
      </c>
    </row>
    <row r="112" spans="5:9" x14ac:dyDescent="0.25">
      <c r="E112" s="21">
        <v>0.9</v>
      </c>
      <c r="F112" s="21">
        <v>0.43588989435406728</v>
      </c>
      <c r="G112" s="22">
        <f t="shared" si="4"/>
        <v>9.1120121314029606E-2</v>
      </c>
      <c r="H112" s="22">
        <f t="shared" si="5"/>
        <v>-2.2049625659328723E-2</v>
      </c>
      <c r="I112" s="22">
        <f t="shared" si="6"/>
        <v>9.1122552243988186E-2</v>
      </c>
    </row>
    <row r="113" spans="5:9" x14ac:dyDescent="0.25">
      <c r="E113" s="21">
        <v>0.89</v>
      </c>
      <c r="F113" s="21">
        <v>0.45596052460711989</v>
      </c>
      <c r="G113" s="22">
        <f t="shared" si="4"/>
        <v>9.06028053542383E-2</v>
      </c>
      <c r="H113" s="22">
        <f t="shared" si="5"/>
        <v>-2.4087219888189838E-2</v>
      </c>
      <c r="I113" s="22">
        <f t="shared" si="6"/>
        <v>9.060570632504801E-2</v>
      </c>
    </row>
    <row r="114" spans="5:9" x14ac:dyDescent="0.25">
      <c r="E114" s="21">
        <v>0.88</v>
      </c>
      <c r="F114" s="21">
        <v>0.4749736834815167</v>
      </c>
      <c r="G114" s="22">
        <f t="shared" si="4"/>
        <v>9.0064473549873458E-2</v>
      </c>
      <c r="H114" s="22">
        <f t="shared" si="5"/>
        <v>-2.6027929310341726E-2</v>
      </c>
      <c r="I114" s="22">
        <f t="shared" si="6"/>
        <v>9.0067860815394377E-2</v>
      </c>
    </row>
    <row r="115" spans="5:9" x14ac:dyDescent="0.25">
      <c r="E115" s="21">
        <v>0.87</v>
      </c>
      <c r="F115" s="21">
        <v>0.49305172142484199</v>
      </c>
      <c r="G115" s="22">
        <f t="shared" si="4"/>
        <v>8.9507557454206216E-2</v>
      </c>
      <c r="H115" s="22">
        <f t="shared" si="5"/>
        <v>-2.788296359037129E-2</v>
      </c>
      <c r="I115" s="22">
        <f t="shared" si="6"/>
        <v>8.9511444752499128E-2</v>
      </c>
    </row>
    <row r="116" spans="5:9" x14ac:dyDescent="0.25">
      <c r="E116" s="21">
        <v>0.86</v>
      </c>
      <c r="F116" s="21">
        <v>0.51029403288692299</v>
      </c>
      <c r="G116" s="22">
        <f t="shared" si="4"/>
        <v>8.8934032400424079E-2</v>
      </c>
      <c r="H116" s="22">
        <f t="shared" si="5"/>
        <v>-2.9661429180002759E-2</v>
      </c>
      <c r="I116" s="22">
        <f t="shared" si="6"/>
        <v>8.8938431402329085E-2</v>
      </c>
    </row>
    <row r="117" spans="5:9" x14ac:dyDescent="0.25">
      <c r="E117" s="21">
        <v>0.85</v>
      </c>
      <c r="F117" s="21">
        <v>0.52678268764263703</v>
      </c>
      <c r="G117" s="22">
        <f t="shared" si="4"/>
        <v>8.834552941672108E-2</v>
      </c>
      <c r="H117" s="22">
        <f t="shared" si="5"/>
        <v>-3.1370845256053742E-2</v>
      </c>
      <c r="I117" s="22">
        <f t="shared" si="6"/>
        <v>8.8350450066381481E-2</v>
      </c>
    </row>
    <row r="118" spans="5:9" x14ac:dyDescent="0.25">
      <c r="E118" s="21">
        <v>0.84</v>
      </c>
      <c r="F118" s="21">
        <v>0.54258639865002156</v>
      </c>
      <c r="G118" s="22">
        <f t="shared" si="4"/>
        <v>8.7743414082228216E-2</v>
      </c>
      <c r="H118" s="22">
        <f t="shared" si="5"/>
        <v>-3.3017507252889863E-2</v>
      </c>
      <c r="I118" s="22">
        <f t="shared" si="6"/>
        <v>8.7748864861154185E-2</v>
      </c>
    </row>
    <row r="119" spans="5:9" x14ac:dyDescent="0.25">
      <c r="E119" s="21">
        <v>0.83</v>
      </c>
      <c r="F119" s="21">
        <v>0.55776339069537362</v>
      </c>
      <c r="G119" s="22">
        <f t="shared" si="4"/>
        <v>8.7128843537539399E-2</v>
      </c>
      <c r="H119" s="22">
        <f t="shared" si="5"/>
        <v>-3.4606749685732963E-2</v>
      </c>
      <c r="I119" s="22">
        <f t="shared" si="6"/>
        <v>8.7134831673158455E-2</v>
      </c>
    </row>
    <row r="120" spans="5:9" x14ac:dyDescent="0.25">
      <c r="E120" s="21">
        <v>0.82</v>
      </c>
      <c r="F120" s="21">
        <v>0.57236352085016751</v>
      </c>
      <c r="G120" s="22">
        <f t="shared" si="4"/>
        <v>8.6502808625987249E-2</v>
      </c>
      <c r="H120" s="22">
        <f t="shared" si="5"/>
        <v>-3.6143140425478046E-2</v>
      </c>
      <c r="I120" s="22">
        <f t="shared" si="6"/>
        <v>8.6509340258986323E-2</v>
      </c>
    </row>
    <row r="121" spans="5:9" x14ac:dyDescent="0.25">
      <c r="E121" s="21">
        <v>0.81</v>
      </c>
      <c r="F121" s="21">
        <v>0.58642987645582989</v>
      </c>
      <c r="G121" s="22">
        <f t="shared" si="4"/>
        <v>8.5866165651476381E-2</v>
      </c>
      <c r="H121" s="22">
        <f t="shared" si="5"/>
        <v>-3.7630627104968895E-2</v>
      </c>
      <c r="I121" s="22">
        <f t="shared" si="6"/>
        <v>8.5873245971957946E-2</v>
      </c>
    </row>
    <row r="122" spans="5:9" x14ac:dyDescent="0.25">
      <c r="E122" s="23">
        <v>0.8</v>
      </c>
      <c r="F122" s="23">
        <v>0.59999999999999987</v>
      </c>
      <c r="G122" s="24">
        <f t="shared" si="4"/>
        <v>8.5219660721278317E-2</v>
      </c>
      <c r="H122" s="24">
        <f t="shared" si="5"/>
        <v>-3.9072649341325844E-2</v>
      </c>
      <c r="I122" s="24">
        <f t="shared" si="6"/>
        <v>8.5227294080911065E-2</v>
      </c>
    </row>
    <row r="123" spans="5:9" x14ac:dyDescent="0.25">
      <c r="E123" s="21">
        <v>0.79</v>
      </c>
      <c r="F123" s="21">
        <v>0.61310684223877321</v>
      </c>
      <c r="G123" s="22">
        <f t="shared" si="4"/>
        <v>8.4563948688075347E-2</v>
      </c>
      <c r="H123" s="22">
        <f t="shared" si="5"/>
        <v>-4.0472226060355984E-2</v>
      </c>
      <c r="I123" s="22">
        <f t="shared" si="6"/>
        <v>8.4572138693486745E-2</v>
      </c>
    </row>
    <row r="124" spans="5:9" x14ac:dyDescent="0.25">
      <c r="E124" s="21">
        <v>0.78</v>
      </c>
      <c r="F124" s="21">
        <v>0.62577951388648057</v>
      </c>
      <c r="G124" s="22">
        <f t="shared" si="4"/>
        <v>8.3899608088800134E-2</v>
      </c>
      <c r="H124" s="22">
        <f t="shared" si="5"/>
        <v>-4.1832024365858048E-2</v>
      </c>
      <c r="I124" s="22">
        <f t="shared" si="6"/>
        <v>8.3908357680112858E-2</v>
      </c>
    </row>
    <row r="125" spans="5:9" x14ac:dyDescent="0.25">
      <c r="E125" s="21">
        <v>0.77</v>
      </c>
      <c r="F125" s="21">
        <v>0.63804388563797088</v>
      </c>
      <c r="G125" s="22">
        <f t="shared" si="4"/>
        <v>8.3227153069284826E-2</v>
      </c>
      <c r="H125" s="22">
        <f t="shared" si="5"/>
        <v>-4.3154414513255003E-2</v>
      </c>
      <c r="I125" s="22">
        <f t="shared" si="6"/>
        <v>8.3236464586744732E-2</v>
      </c>
    </row>
    <row r="126" spans="5:9" x14ac:dyDescent="0.25">
      <c r="E126" s="21">
        <v>0.76</v>
      </c>
      <c r="F126" s="21">
        <v>0.64992307237087688</v>
      </c>
      <c r="G126" s="22">
        <f t="shared" si="4"/>
        <v>8.2547043007140442E-2</v>
      </c>
      <c r="H126" s="22">
        <f t="shared" si="5"/>
        <v>-4.4441514271875419E-2</v>
      </c>
      <c r="I126" s="22">
        <f t="shared" si="6"/>
        <v>8.255691824809433E-2</v>
      </c>
    </row>
    <row r="127" spans="5:9" x14ac:dyDescent="0.25">
      <c r="E127" s="21">
        <v>0.75</v>
      </c>
      <c r="F127" s="21">
        <v>0.66143782776614768</v>
      </c>
      <c r="G127" s="22">
        <f t="shared" si="4"/>
        <v>8.1859690354317907E-2</v>
      </c>
      <c r="H127" s="22">
        <f t="shared" si="5"/>
        <v>-4.5695225079817603E-2</v>
      </c>
      <c r="I127" s="22">
        <f t="shared" si="6"/>
        <v>8.1870130622293383E-2</v>
      </c>
    </row>
    <row r="128" spans="5:9" x14ac:dyDescent="0.25">
      <c r="E128" s="21">
        <v>0.74</v>
      </c>
      <c r="F128" s="21">
        <v>0.67260686883200949</v>
      </c>
      <c r="G128" s="22">
        <f t="shared" si="4"/>
        <v>8.1165467086592363E-2</v>
      </c>
      <c r="H128" s="22">
        <f t="shared" si="5"/>
        <v>-4.691726177661365E-2</v>
      </c>
      <c r="I128" s="22">
        <f t="shared" si="6"/>
        <v>8.1176473233855434E-2</v>
      </c>
    </row>
    <row r="129" spans="5:9" x14ac:dyDescent="0.25">
      <c r="E129" s="21">
        <v>0.73</v>
      </c>
      <c r="F129" s="21">
        <v>0.6834471449936711</v>
      </c>
      <c r="G129" s="22">
        <f t="shared" si="4"/>
        <v>8.0464710051365046E-2</v>
      </c>
      <c r="H129" s="22">
        <f t="shared" si="5"/>
        <v>-4.810917725704477E-2</v>
      </c>
      <c r="I129" s="22">
        <f t="shared" si="6"/>
        <v>8.0476282516046799E-2</v>
      </c>
    </row>
    <row r="130" spans="5:9" x14ac:dyDescent="0.25">
      <c r="E130" s="21">
        <v>0.72</v>
      </c>
      <c r="F130" s="21">
        <v>0.69397406291589891</v>
      </c>
      <c r="G130" s="22">
        <f t="shared" si="4"/>
        <v>7.9757725435714563E-2</v>
      </c>
      <c r="H130" s="22">
        <f t="shared" si="5"/>
        <v>-4.9272383069232303E-2</v>
      </c>
      <c r="I130" s="22">
        <f t="shared" si="6"/>
        <v>7.9769864274381166E-2</v>
      </c>
    </row>
    <row r="131" spans="5:9" x14ac:dyDescent="0.25">
      <c r="E131" s="21">
        <v>0.71</v>
      </c>
      <c r="F131" s="21">
        <v>0.70420167565833014</v>
      </c>
      <c r="G131" s="22">
        <f t="shared" ref="G131:G194" si="7">$B$12*E131+$B$13*F131</f>
        <v>7.9044792525608434E-2</v>
      </c>
      <c r="H131" s="22">
        <f t="shared" ref="H131:H194" si="8">$B$13*E131-$B$12*F131</f>
        <v>-5.0408166744918596E-2</v>
      </c>
      <c r="I131" s="22">
        <f t="shared" ref="I131:I194" si="9">$B$14*G131+($B$14^2*H131^2)/200</f>
        <v>7.9057497441981359E-2</v>
      </c>
    </row>
    <row r="132" spans="5:9" x14ac:dyDescent="0.25">
      <c r="E132" s="21">
        <v>0.7</v>
      </c>
      <c r="F132" s="21">
        <v>0.71414284285428498</v>
      </c>
      <c r="G132" s="22">
        <f t="shared" si="7"/>
        <v>7.8326166889245097E-2</v>
      </c>
      <c r="H132" s="22">
        <f t="shared" si="8"/>
        <v>-5.15177064749405E-2</v>
      </c>
      <c r="I132" s="22">
        <f t="shared" si="9"/>
        <v>7.8339437259647288E-2</v>
      </c>
    </row>
    <row r="133" spans="5:9" x14ac:dyDescent="0.25">
      <c r="E133" s="21">
        <v>0.69</v>
      </c>
      <c r="F133" s="21">
        <v>0.7238093671679029</v>
      </c>
      <c r="G133" s="22">
        <f t="shared" si="7"/>
        <v>7.7602083088958884E-2</v>
      </c>
      <c r="H133" s="22">
        <f t="shared" si="8"/>
        <v>-5.2602083611339195E-2</v>
      </c>
      <c r="I133" s="22">
        <f t="shared" si="9"/>
        <v>7.7615917984960162E-2</v>
      </c>
    </row>
    <row r="134" spans="5:9" x14ac:dyDescent="0.25">
      <c r="E134" s="21">
        <v>0.68</v>
      </c>
      <c r="F134" s="21">
        <v>0.73321211119293428</v>
      </c>
      <c r="G134" s="22">
        <f t="shared" si="7"/>
        <v>7.6872757004428999E-2</v>
      </c>
      <c r="H134" s="22">
        <f t="shared" si="8"/>
        <v>-5.3662293377547805E-2</v>
      </c>
      <c r="I134" s="22">
        <f t="shared" si="9"/>
        <v>7.688715521308169E-2</v>
      </c>
    </row>
    <row r="135" spans="5:9" x14ac:dyDescent="0.25">
      <c r="E135" s="21">
        <v>0.67</v>
      </c>
      <c r="F135" s="21">
        <v>0.74236109811869855</v>
      </c>
      <c r="G135" s="22">
        <f t="shared" si="7"/>
        <v>7.6138387833282029E-2</v>
      </c>
      <c r="H135" s="22">
        <f t="shared" si="8"/>
        <v>-5.469925409133776E-2</v>
      </c>
      <c r="I135" s="22">
        <f t="shared" si="9"/>
        <v>7.6153347875272767E-2</v>
      </c>
    </row>
    <row r="136" spans="5:9" x14ac:dyDescent="0.25">
      <c r="E136" s="21">
        <v>0.66</v>
      </c>
      <c r="F136" s="21">
        <v>0.751265598839718</v>
      </c>
      <c r="G136" s="22">
        <f t="shared" si="7"/>
        <v>7.5399159822280862E-2</v>
      </c>
      <c r="H136" s="22">
        <f t="shared" si="8"/>
        <v>-5.5713815145744125E-2</v>
      </c>
      <c r="I136" s="22">
        <f t="shared" si="9"/>
        <v>7.5414679968271336E-2</v>
      </c>
    </row>
    <row r="137" spans="5:9" x14ac:dyDescent="0.25">
      <c r="E137" s="21">
        <v>0.65</v>
      </c>
      <c r="F137" s="21">
        <v>0.75993420767853315</v>
      </c>
      <c r="G137" s="22">
        <f t="shared" si="7"/>
        <v>7.4655243772215343E-2</v>
      </c>
      <c r="H137" s="22">
        <f t="shared" si="8"/>
        <v>-5.6706763946738327E-2</v>
      </c>
      <c r="I137" s="22">
        <f t="shared" si="9"/>
        <v>7.4671322057601894E-2</v>
      </c>
    </row>
    <row r="138" spans="5:9" x14ac:dyDescent="0.25">
      <c r="E138" s="21">
        <v>0.64</v>
      </c>
      <c r="F138" s="21">
        <v>0.7683749084919419</v>
      </c>
      <c r="G138" s="22">
        <f t="shared" si="7"/>
        <v>7.3906798351676378E-2</v>
      </c>
      <c r="H138" s="22">
        <f t="shared" si="8"/>
        <v>-5.7678831969836614E-2</v>
      </c>
      <c r="I138" s="22">
        <f t="shared" si="9"/>
        <v>7.3923432589963395E-2</v>
      </c>
    </row>
    <row r="139" spans="5:9" x14ac:dyDescent="0.25">
      <c r="E139" s="21">
        <v>0.63</v>
      </c>
      <c r="F139" s="21">
        <v>0.77659513261415691</v>
      </c>
      <c r="G139" s="22">
        <f t="shared" si="7"/>
        <v>7.3153971248599486E-2</v>
      </c>
      <c r="H139" s="22">
        <f t="shared" si="8"/>
        <v>-5.8630700068812748E-2</v>
      </c>
      <c r="I139" s="22">
        <f t="shared" si="9"/>
        <v>7.3171159043552286E-2</v>
      </c>
    </row>
    <row r="140" spans="5:9" x14ac:dyDescent="0.25">
      <c r="E140" s="21">
        <v>0.62</v>
      </c>
      <c r="F140" s="21">
        <v>0.7846018098373212</v>
      </c>
      <c r="G140" s="22">
        <f t="shared" si="7"/>
        <v>7.2396900183435114E-2</v>
      </c>
      <c r="H140" s="22">
        <f t="shared" si="8"/>
        <v>-5.9563003146498025E-2</v>
      </c>
      <c r="I140" s="22">
        <f t="shared" si="9"/>
        <v>7.2414638940154263E-2</v>
      </c>
    </row>
    <row r="141" spans="5:9" x14ac:dyDescent="0.25">
      <c r="E141" s="21">
        <v>0.61</v>
      </c>
      <c r="F141" s="21">
        <v>0.79240141342630122</v>
      </c>
      <c r="G141" s="22">
        <f t="shared" si="7"/>
        <v>7.1635713803758078E-2</v>
      </c>
      <c r="H141" s="22">
        <f t="shared" si="8"/>
        <v>-6.0476334279005894E-2</v>
      </c>
      <c r="I141" s="22">
        <f t="shared" si="9"/>
        <v>7.1654000738797213E-2</v>
      </c>
    </row>
    <row r="142" spans="5:9" x14ac:dyDescent="0.25">
      <c r="E142" s="23">
        <v>0.6</v>
      </c>
      <c r="F142" s="23">
        <v>0.8</v>
      </c>
      <c r="G142" s="24">
        <f t="shared" si="7"/>
        <v>7.0870532476855957E-2</v>
      </c>
      <c r="H142" s="24">
        <f t="shared" si="8"/>
        <v>-6.1371248369630753E-2</v>
      </c>
      <c r="I142" s="24">
        <f t="shared" si="9"/>
        <v>7.0889364627488197E-2</v>
      </c>
    </row>
    <row r="143" spans="5:9" x14ac:dyDescent="0.25">
      <c r="E143" s="21">
        <v>0.59</v>
      </c>
      <c r="F143" s="21">
        <v>0.80740324497737814</v>
      </c>
      <c r="G143" s="22">
        <f t="shared" si="7"/>
        <v>7.0101468994171745E-2</v>
      </c>
      <c r="H143" s="22">
        <f t="shared" si="8"/>
        <v>-6.2248265396388169E-2</v>
      </c>
      <c r="I143" s="22">
        <f t="shared" si="9"/>
        <v>7.0120843226896046E-2</v>
      </c>
    </row>
    <row r="144" spans="5:9" x14ac:dyDescent="0.25">
      <c r="E144" s="21">
        <v>0.57999999999999996</v>
      </c>
      <c r="F144" s="21">
        <v>0.81461647417665206</v>
      </c>
      <c r="G144" s="22">
        <f t="shared" si="7"/>
        <v>6.9328629199296249E-2</v>
      </c>
      <c r="H144" s="22">
        <f t="shared" si="8"/>
        <v>-6.3107873307111886E-2</v>
      </c>
      <c r="I144" s="22">
        <f t="shared" si="9"/>
        <v>6.9348542217662984E-2</v>
      </c>
    </row>
    <row r="145" spans="5:9" x14ac:dyDescent="0.25">
      <c r="E145" s="21">
        <v>0.56999999999999995</v>
      </c>
      <c r="F145" s="21">
        <v>0.82164469206585888</v>
      </c>
      <c r="G145" s="22">
        <f t="shared" si="7"/>
        <v>6.8552112549410599E-2</v>
      </c>
      <c r="H145" s="22">
        <f t="shared" si="8"/>
        <v>-6.3950530607751355E-2</v>
      </c>
      <c r="I145" s="22">
        <f t="shared" si="9"/>
        <v>6.857256090123566E-2</v>
      </c>
    </row>
    <row r="146" spans="5:9" x14ac:dyDescent="0.25">
      <c r="E146" s="21">
        <v>0.56000000000000005</v>
      </c>
      <c r="F146" s="21">
        <v>0.82849260708831907</v>
      </c>
      <c r="G146" s="22">
        <f t="shared" si="7"/>
        <v>6.777201261859632E-2</v>
      </c>
      <c r="H146" s="22">
        <f t="shared" si="8"/>
        <v>-6.4776668682673233E-2</v>
      </c>
      <c r="I146" s="22">
        <f t="shared" si="9"/>
        <v>6.7792992702624441E-2</v>
      </c>
    </row>
    <row r="147" spans="5:9" x14ac:dyDescent="0.25">
      <c r="E147" s="21">
        <v>0.55000000000000004</v>
      </c>
      <c r="F147" s="21">
        <v>0.83516465442450327</v>
      </c>
      <c r="G147" s="22">
        <f t="shared" si="7"/>
        <v>6.6988417550197327E-2</v>
      </c>
      <c r="H147" s="22">
        <f t="shared" si="8"/>
        <v>-6.5586693880088309E-2</v>
      </c>
      <c r="I147" s="22">
        <f t="shared" si="9"/>
        <v>6.700992562226793E-2</v>
      </c>
    </row>
    <row r="148" spans="5:9" x14ac:dyDescent="0.25">
      <c r="E148" s="21">
        <v>0.54</v>
      </c>
      <c r="F148" s="21">
        <v>0.84166501650003245</v>
      </c>
      <c r="G148" s="22">
        <f t="shared" si="7"/>
        <v>6.6201410464389349E-2</v>
      </c>
      <c r="H148" s="22">
        <f t="shared" si="8"/>
        <v>-6.6380989390980319E-2</v>
      </c>
      <c r="I148" s="22">
        <f t="shared" si="9"/>
        <v>6.622344264315197E-2</v>
      </c>
    </row>
    <row r="149" spans="5:9" x14ac:dyDescent="0.25">
      <c r="E149" s="21">
        <v>0.53</v>
      </c>
      <c r="F149" s="21">
        <v>0.8479976415061542</v>
      </c>
      <c r="G149" s="22">
        <f t="shared" si="7"/>
        <v>6.5411069826249779E-2</v>
      </c>
      <c r="H149" s="22">
        <f t="shared" si="8"/>
        <v>-6.7159916945939382E-2</v>
      </c>
      <c r="I149" s="22">
        <f t="shared" si="9"/>
        <v>6.5433622098470701E-2</v>
      </c>
    </row>
    <row r="150" spans="5:9" x14ac:dyDescent="0.25">
      <c r="E150" s="21">
        <v>0.52</v>
      </c>
      <c r="F150" s="21">
        <v>0.85416626016250496</v>
      </c>
      <c r="G150" s="22">
        <f t="shared" si="7"/>
        <v>6.4617469778895528E-2</v>
      </c>
      <c r="H150" s="22">
        <f t="shared" si="8"/>
        <v>-6.7923818350954956E-2</v>
      </c>
      <c r="I150" s="22">
        <f t="shared" si="9"/>
        <v>6.46405380043924E-2</v>
      </c>
    </row>
    <row r="151" spans="5:9" x14ac:dyDescent="0.25">
      <c r="E151" s="21">
        <v>0.51</v>
      </c>
      <c r="F151" s="21">
        <v>0.86017440092111552</v>
      </c>
      <c r="G151" s="22">
        <f t="shared" si="7"/>
        <v>6.3820680445642416E-2</v>
      </c>
      <c r="H151" s="22">
        <f t="shared" si="8"/>
        <v>-6.8673016880396301E-2</v>
      </c>
      <c r="I151" s="22">
        <f t="shared" si="9"/>
        <v>6.3844260361879693E-2</v>
      </c>
    </row>
    <row r="152" spans="5:9" x14ac:dyDescent="0.25">
      <c r="E152" s="21">
        <v>0.5</v>
      </c>
      <c r="F152" s="21">
        <v>0.8660254037844386</v>
      </c>
      <c r="G152" s="22">
        <f t="shared" si="7"/>
        <v>6.3020768204620242E-2</v>
      </c>
      <c r="H152" s="22">
        <f t="shared" si="8"/>
        <v>-6.9407818543010896E-2</v>
      </c>
      <c r="I152" s="22">
        <f t="shared" si="9"/>
        <v>6.3044855430994737E-2</v>
      </c>
    </row>
    <row r="153" spans="5:9" x14ac:dyDescent="0.25">
      <c r="E153" s="21">
        <v>0.49</v>
      </c>
      <c r="F153" s="21">
        <v>0.87172243288790041</v>
      </c>
      <c r="G153" s="22">
        <f t="shared" si="7"/>
        <v>6.2217795938834301E-2</v>
      </c>
      <c r="H153" s="22">
        <f t="shared" si="8"/>
        <v>-7.0128513234729101E-2</v>
      </c>
      <c r="I153" s="22">
        <f t="shared" si="9"/>
        <v>6.224238598067687E-2</v>
      </c>
    </row>
    <row r="154" spans="5:9" x14ac:dyDescent="0.25">
      <c r="E154" s="21">
        <v>0.48</v>
      </c>
      <c r="F154" s="21">
        <v>0.87726848797845236</v>
      </c>
      <c r="G154" s="22">
        <f t="shared" si="7"/>
        <v>6.1411823264286486E-2</v>
      </c>
      <c r="H154" s="22">
        <f t="shared" si="8"/>
        <v>-7.0835375790321328E-2</v>
      </c>
      <c r="I154" s="22">
        <f t="shared" si="9"/>
        <v>6.1436911516603264E-2</v>
      </c>
    </row>
    <row r="155" spans="5:9" x14ac:dyDescent="0.25">
      <c r="E155" s="21">
        <v>0.47</v>
      </c>
      <c r="F155" s="21">
        <v>0.88266641490429443</v>
      </c>
      <c r="G155" s="22">
        <f t="shared" si="7"/>
        <v>6.0602906738444581E-2</v>
      </c>
      <c r="H155" s="22">
        <f t="shared" si="8"/>
        <v>-7.1528666944459335E-2</v>
      </c>
      <c r="I155" s="22">
        <f t="shared" si="9"/>
        <v>6.062848848941884E-2</v>
      </c>
    </row>
    <row r="156" spans="5:9" x14ac:dyDescent="0.25">
      <c r="E156" s="21">
        <v>0.46</v>
      </c>
      <c r="F156" s="21">
        <v>0.88791891521692456</v>
      </c>
      <c r="G156" s="22">
        <f t="shared" si="7"/>
        <v>5.9791100051070377E-2</v>
      </c>
      <c r="H156" s="22">
        <f t="shared" si="8"/>
        <v>-7.2208634211449352E-2</v>
      </c>
      <c r="I156" s="22">
        <f t="shared" si="9"/>
        <v>5.9817170485343789E-2</v>
      </c>
    </row>
    <row r="157" spans="5:9" x14ac:dyDescent="0.25">
      <c r="E157" s="21">
        <v>0.45</v>
      </c>
      <c r="F157" s="21">
        <v>0.89302855497458755</v>
      </c>
      <c r="G157" s="22">
        <f t="shared" si="7"/>
        <v>5.8976454199176465E-2</v>
      </c>
      <c r="H157" s="22">
        <f t="shared" si="8"/>
        <v>-7.2875512691798192E-2</v>
      </c>
      <c r="I157" s="22">
        <f t="shared" si="9"/>
        <v>5.9003008400926926E-2</v>
      </c>
    </row>
    <row r="158" spans="5:9" x14ac:dyDescent="0.25">
      <c r="E158" s="21">
        <v>0.44</v>
      </c>
      <c r="F158" s="21">
        <v>0.89799777282574589</v>
      </c>
      <c r="G158" s="22">
        <f t="shared" si="7"/>
        <v>5.8159017647674602E-2</v>
      </c>
      <c r="H158" s="22">
        <f t="shared" si="8"/>
        <v>-7.3529525812815313E-2</v>
      </c>
      <c r="I158" s="22">
        <f t="shared" si="9"/>
        <v>5.8186050603505887E-2</v>
      </c>
    </row>
    <row r="159" spans="5:9" x14ac:dyDescent="0.25">
      <c r="E159" s="21">
        <v>0.42999999999999899</v>
      </c>
      <c r="F159" s="21">
        <v>0.90282888744213363</v>
      </c>
      <c r="G159" s="22">
        <f t="shared" si="7"/>
        <v>5.7338836477097734E-2</v>
      </c>
      <c r="H159" s="22">
        <f t="shared" si="8"/>
        <v>-7.4170886009624057E-2</v>
      </c>
      <c r="I159" s="22">
        <f t="shared" si="9"/>
        <v>5.7366343078754996E-2</v>
      </c>
    </row>
    <row r="160" spans="5:9" x14ac:dyDescent="0.25">
      <c r="E160" s="21">
        <v>0.41999999999999899</v>
      </c>
      <c r="F160" s="21">
        <v>0.90752410436307474</v>
      </c>
      <c r="G160" s="22">
        <f t="shared" si="7"/>
        <v>5.6515954519622082E-2</v>
      </c>
      <c r="H160" s="22">
        <f t="shared" si="8"/>
        <v>-7.4799795352233481E-2</v>
      </c>
      <c r="I160" s="22">
        <f t="shared" si="9"/>
        <v>5.6543929566545761E-2</v>
      </c>
    </row>
    <row r="161" spans="5:9" x14ac:dyDescent="0.25">
      <c r="E161" s="21">
        <v>0.40999999999999898</v>
      </c>
      <c r="F161" s="21">
        <v>0.91208552230588602</v>
      </c>
      <c r="G161" s="22">
        <f t="shared" si="7"/>
        <v>5.5690413484477536E-2</v>
      </c>
      <c r="H161" s="22">
        <f t="shared" si="8"/>
        <v>-7.541644612369322E-2</v>
      </c>
      <c r="I161" s="22">
        <f t="shared" si="9"/>
        <v>5.5718851686207174E-2</v>
      </c>
    </row>
    <row r="162" spans="5:9" x14ac:dyDescent="0.25">
      <c r="E162" s="23">
        <v>0.39999999999999902</v>
      </c>
      <c r="F162" s="23">
        <v>0.91651513899116843</v>
      </c>
      <c r="G162" s="24">
        <f t="shared" si="7"/>
        <v>5.486225307371799E-2</v>
      </c>
      <c r="H162" s="24">
        <f t="shared" si="8"/>
        <v>-7.6021021353802676E-2</v>
      </c>
      <c r="I162" s="24">
        <f t="shared" si="9"/>
        <v>5.489114905215637E-2</v>
      </c>
    </row>
    <row r="163" spans="5:9" x14ac:dyDescent="0.25">
      <c r="E163" s="21">
        <v>0.38999999999999901</v>
      </c>
      <c r="F163" s="21">
        <v>0.92081485652654449</v>
      </c>
      <c r="G163" s="22">
        <f t="shared" si="7"/>
        <v>5.4031511089215854E-2</v>
      </c>
      <c r="H163" s="22">
        <f t="shared" si="8"/>
        <v>-7.6613695312365296E-2</v>
      </c>
      <c r="I163" s="22">
        <f t="shared" si="9"/>
        <v>5.4060859380762931E-2</v>
      </c>
    </row>
    <row r="164" spans="5:9" x14ac:dyDescent="0.25">
      <c r="E164" s="21">
        <v>0.37999999999999901</v>
      </c>
      <c r="F164" s="21">
        <v>0.9249864863877747</v>
      </c>
      <c r="G164" s="22">
        <f t="shared" si="7"/>
        <v>5.3198223531655223E-2</v>
      </c>
      <c r="H164" s="22">
        <f t="shared" si="8"/>
        <v>-7.719463396555519E-2</v>
      </c>
      <c r="I164" s="22">
        <f t="shared" si="9"/>
        <v>5.3228018589220605E-2</v>
      </c>
    </row>
    <row r="165" spans="5:9" x14ac:dyDescent="0.25">
      <c r="E165" s="21">
        <v>0.369999999999999</v>
      </c>
      <c r="F165" s="21">
        <v>0.92903175403212179</v>
      </c>
      <c r="G165" s="22">
        <f t="shared" si="7"/>
        <v>5.2362424692216351E-2</v>
      </c>
      <c r="H165" s="22">
        <f t="shared" si="8"/>
        <v>-7.7763995398590288E-2</v>
      </c>
      <c r="I165" s="22">
        <f t="shared" si="9"/>
        <v>5.2392660887118109E-2</v>
      </c>
    </row>
    <row r="166" spans="5:9" x14ac:dyDescent="0.25">
      <c r="E166" s="21">
        <v>0.35999999999999899</v>
      </c>
      <c r="F166" s="21">
        <v>0.93295230317524847</v>
      </c>
      <c r="G166" s="22">
        <f t="shared" si="7"/>
        <v>5.1524147237573328E-2</v>
      </c>
      <c r="H166" s="22">
        <f t="shared" si="8"/>
        <v>-7.8321930207578924E-2</v>
      </c>
      <c r="I166" s="22">
        <f t="shared" si="9"/>
        <v>5.155481886133053E-2</v>
      </c>
    </row>
    <row r="167" spans="5:9" x14ac:dyDescent="0.25">
      <c r="E167" s="21">
        <v>0.34999999999999898</v>
      </c>
      <c r="F167" s="21">
        <v>0.93674969975976008</v>
      </c>
      <c r="G167" s="22">
        <f t="shared" si="7"/>
        <v>5.0683422288763616E-2</v>
      </c>
      <c r="H167" s="22">
        <f t="shared" si="8"/>
        <v>-7.886858186311492E-2</v>
      </c>
      <c r="I167" s="22">
        <f t="shared" si="9"/>
        <v>5.0714523554789108E-2</v>
      </c>
    </row>
    <row r="168" spans="5:9" x14ac:dyDescent="0.25">
      <c r="E168" s="21">
        <v>0.33999999999999903</v>
      </c>
      <c r="F168" s="21">
        <v>0.94042543564070014</v>
      </c>
      <c r="G168" s="22">
        <f t="shared" si="7"/>
        <v>4.9840279494432441E-2</v>
      </c>
      <c r="H168" s="22">
        <f t="shared" si="8"/>
        <v>-7.940408704794015E-2</v>
      </c>
      <c r="I168" s="22">
        <f t="shared" si="9"/>
        <v>4.9871804539632025E-2</v>
      </c>
    </row>
    <row r="169" spans="5:9" x14ac:dyDescent="0.25">
      <c r="E169" s="21">
        <v>0.32999999999999902</v>
      </c>
      <c r="F169" s="21">
        <v>0.94398093201081168</v>
      </c>
      <c r="G169" s="22">
        <f t="shared" si="7"/>
        <v>4.8994747098905264E-2</v>
      </c>
      <c r="H169" s="22">
        <f t="shared" si="8"/>
        <v>-7.9928575970764776E-2</v>
      </c>
      <c r="I169" s="22">
        <f t="shared" si="9"/>
        <v>4.9026689985188839E-2</v>
      </c>
    </row>
    <row r="170" spans="5:9" x14ac:dyDescent="0.25">
      <c r="E170" s="21">
        <v>0.31999999999999901</v>
      </c>
      <c r="F170" s="21">
        <v>0.94741754258616118</v>
      </c>
      <c r="G170" s="22">
        <f t="shared" si="7"/>
        <v>4.8146852005497884E-2</v>
      </c>
      <c r="H170" s="22">
        <f t="shared" si="8"/>
        <v>-8.0442172658131778E-2</v>
      </c>
      <c r="I170" s="22">
        <f t="shared" si="9"/>
        <v>4.8179206721207686E-2</v>
      </c>
    </row>
    <row r="171" spans="5:9" x14ac:dyDescent="0.25">
      <c r="E171" s="21">
        <v>0.309999999999999</v>
      </c>
      <c r="F171" s="21">
        <v>0.95073655657074663</v>
      </c>
      <c r="G171" s="22">
        <f t="shared" si="7"/>
        <v>4.7296619835434109E-2</v>
      </c>
      <c r="H171" s="22">
        <f t="shared" si="8"/>
        <v>-8.0944995226032476E-2</v>
      </c>
      <c r="I171" s="22">
        <f t="shared" si="9"/>
        <v>4.7329380296694819E-2</v>
      </c>
    </row>
    <row r="172" spans="5:9" x14ac:dyDescent="0.25">
      <c r="E172" s="21">
        <v>0.29999999999999899</v>
      </c>
      <c r="F172" s="21">
        <v>0.95393920141694599</v>
      </c>
      <c r="G172" s="22">
        <f t="shared" si="7"/>
        <v>4.6444074982705953E-2</v>
      </c>
      <c r="H172" s="22">
        <f t="shared" si="8"/>
        <v>-8.1437156132816838E-2</v>
      </c>
      <c r="I172" s="22">
        <f t="shared" si="9"/>
        <v>4.6477235034700956E-2</v>
      </c>
    </row>
    <row r="173" spans="5:9" x14ac:dyDescent="0.25">
      <c r="E173" s="21">
        <v>0.28999999999999898</v>
      </c>
      <c r="F173" s="21">
        <v>0.95702664539708637</v>
      </c>
      <c r="G173" s="22">
        <f t="shared" si="7"/>
        <v>4.5589240665180275E-2</v>
      </c>
      <c r="H173" s="22">
        <f t="shared" si="8"/>
        <v>-8.1918762414798924E-2</v>
      </c>
      <c r="I173" s="22">
        <f t="shared" si="9"/>
        <v>4.5622794083358134E-2</v>
      </c>
    </row>
    <row r="174" spans="5:9" x14ac:dyDescent="0.25">
      <c r="E174" s="21">
        <v>0.27999999999999903</v>
      </c>
      <c r="F174" s="21">
        <v>0.9600000000000003</v>
      </c>
      <c r="G174" s="22">
        <f t="shared" si="7"/>
        <v>4.473213897222706E-2</v>
      </c>
      <c r="H174" s="22">
        <f t="shared" si="8"/>
        <v>-8.2389915905827726E-2</v>
      </c>
      <c r="I174" s="22">
        <f t="shared" si="9"/>
        <v>4.476607946344191E-2</v>
      </c>
    </row>
    <row r="175" spans="5:9" x14ac:dyDescent="0.25">
      <c r="E175" s="21">
        <v>0.26999999999999902</v>
      </c>
      <c r="F175" s="21">
        <v>0.96286032216516249</v>
      </c>
      <c r="G175" s="22">
        <f t="shared" si="7"/>
        <v>4.3872790909119996E-2</v>
      </c>
      <c r="H175" s="22">
        <f t="shared" si="8"/>
        <v>-8.2850713441977294E-2</v>
      </c>
      <c r="I175" s="22">
        <f t="shared" si="9"/>
        <v>4.3907112112709222E-2</v>
      </c>
    </row>
    <row r="176" spans="5:9" x14ac:dyDescent="0.25">
      <c r="E176" s="21">
        <v>0.25999999999999901</v>
      </c>
      <c r="F176" s="21">
        <v>0.96560861636586515</v>
      </c>
      <c r="G176" s="22">
        <f t="shared" si="7"/>
        <v>4.301121643843682E-2</v>
      </c>
      <c r="H176" s="22">
        <f t="shared" si="8"/>
        <v>-8.3301247052405783E-2</v>
      </c>
      <c r="I176" s="22">
        <f t="shared" si="9"/>
        <v>4.304591192723925E-2</v>
      </c>
    </row>
    <row r="177" spans="5:9" x14ac:dyDescent="0.25">
      <c r="E177" s="21">
        <v>0.249999999999999</v>
      </c>
      <c r="F177" s="21">
        <v>0.96824583655185448</v>
      </c>
      <c r="G177" s="22">
        <f t="shared" si="7"/>
        <v>4.2147434518666607E-2</v>
      </c>
      <c r="H177" s="22">
        <f t="shared" si="8"/>
        <v>-8.3741604137338513E-2</v>
      </c>
      <c r="I177" s="22">
        <f t="shared" si="9"/>
        <v>4.2182497799984078E-2</v>
      </c>
    </row>
    <row r="178" spans="5:9" x14ac:dyDescent="0.25">
      <c r="E178" s="21">
        <v>0.23999999999999899</v>
      </c>
      <c r="F178" s="21">
        <v>0.97077288796092798</v>
      </c>
      <c r="G178" s="22">
        <f t="shared" si="7"/>
        <v>4.1281463140212915E-2</v>
      </c>
      <c r="H178" s="22">
        <f t="shared" si="8"/>
        <v>-8.41718676340453E-2</v>
      </c>
      <c r="I178" s="22">
        <f t="shared" si="9"/>
        <v>4.1316887656717934E-2</v>
      </c>
    </row>
    <row r="179" spans="5:9" x14ac:dyDescent="0.25">
      <c r="E179" s="21">
        <v>0.22999999999999901</v>
      </c>
      <c r="F179" s="21">
        <v>0.97319062880814899</v>
      </c>
      <c r="G179" s="22">
        <f t="shared" si="7"/>
        <v>4.0413319358964694E-2</v>
      </c>
      <c r="H179" s="22">
        <f t="shared" si="8"/>
        <v>-8.4592116171605072E-2</v>
      </c>
      <c r="I179" s="22">
        <f t="shared" si="9"/>
        <v>4.0449098489556648E-2</v>
      </c>
    </row>
    <row r="180" spans="5:9" x14ac:dyDescent="0.25">
      <c r="E180" s="21">
        <v>0.219999999999999</v>
      </c>
      <c r="F180" s="21">
        <v>0.97549987186057607</v>
      </c>
      <c r="G180" s="22">
        <f t="shared" si="7"/>
        <v>3.9543019327591897E-2</v>
      </c>
      <c r="H180" s="22">
        <f t="shared" si="8"/>
        <v>-8.5002424215181616E-2</v>
      </c>
      <c r="I180" s="22">
        <f t="shared" si="9"/>
        <v>3.9579146388204187E-2</v>
      </c>
    </row>
    <row r="181" spans="5:9" x14ac:dyDescent="0.25">
      <c r="E181" s="21">
        <v>0.20999999999999899</v>
      </c>
      <c r="F181" s="21">
        <v>0.977701385904715</v>
      </c>
      <c r="G181" s="22">
        <f t="shared" si="7"/>
        <v>3.8670578324709187E-2</v>
      </c>
      <c r="H181" s="22">
        <f t="shared" si="8"/>
        <v>-8.5402862200470372E-2</v>
      </c>
      <c r="I181" s="22">
        <f t="shared" si="9"/>
        <v>3.8707046569069349E-2</v>
      </c>
    </row>
    <row r="182" spans="5:9" x14ac:dyDescent="0.25">
      <c r="E182" s="23">
        <v>0.19999999999999901</v>
      </c>
      <c r="F182" s="23">
        <v>0.97979589711327142</v>
      </c>
      <c r="G182" s="24">
        <f t="shared" si="7"/>
        <v>3.7796010782038342E-2</v>
      </c>
      <c r="H182" s="24">
        <f t="shared" si="8"/>
        <v>-8.5793496658919569E-2</v>
      </c>
      <c r="I182" s="24">
        <f t="shared" si="9"/>
        <v>3.7832813402383161E-2</v>
      </c>
    </row>
    <row r="183" spans="5:9" x14ac:dyDescent="0.25">
      <c r="E183" s="21">
        <v>0.189999999999999</v>
      </c>
      <c r="F183" s="21">
        <v>0.98178409031721448</v>
      </c>
      <c r="G183" s="22">
        <f t="shared" si="7"/>
        <v>3.6919330309688803E-2</v>
      </c>
      <c r="H183" s="22">
        <f t="shared" si="8"/>
        <v>-8.6174390334275611E-2</v>
      </c>
      <c r="I183" s="22">
        <f t="shared" si="9"/>
        <v>3.6956460437436223E-2</v>
      </c>
    </row>
    <row r="184" spans="5:9" x14ac:dyDescent="0.25">
      <c r="E184" s="21">
        <v>0.17999999999999899</v>
      </c>
      <c r="F184" s="21">
        <v>0.98366661018863522</v>
      </c>
      <c r="G184" s="22">
        <f t="shared" si="7"/>
        <v>3.6040549719665464E-2</v>
      </c>
      <c r="H184" s="22">
        <f t="shared" si="8"/>
        <v>-8.6545602290955953E-2</v>
      </c>
      <c r="I184" s="22">
        <f t="shared" si="9"/>
        <v>3.6078000426044983E-2</v>
      </c>
    </row>
    <row r="185" spans="5:9" x14ac:dyDescent="0.25">
      <c r="E185" s="21">
        <v>0.16999999999999901</v>
      </c>
      <c r="F185" s="21">
        <v>0.98544406233941062</v>
      </c>
      <c r="G185" s="22">
        <f t="shared" si="7"/>
        <v>3.5159681047703131E-2</v>
      </c>
      <c r="H185" s="22">
        <f t="shared" si="8"/>
        <v>-8.6907188014707884E-2</v>
      </c>
      <c r="I185" s="22">
        <f t="shared" si="9"/>
        <v>3.5197445344346247E-2</v>
      </c>
    </row>
    <row r="186" spans="5:9" x14ac:dyDescent="0.25">
      <c r="E186" s="21">
        <v>0.159999999999999</v>
      </c>
      <c r="F186" s="21">
        <v>0.98711701434024546</v>
      </c>
      <c r="G186" s="22">
        <f t="shared" si="7"/>
        <v>3.4276735573518638E-2</v>
      </c>
      <c r="H186" s="22">
        <f t="shared" si="8"/>
        <v>-8.7259199505972329E-2</v>
      </c>
      <c r="I186" s="22">
        <f t="shared" si="9"/>
        <v>3.4314806413010754E-2</v>
      </c>
    </row>
    <row r="187" spans="5:9" x14ac:dyDescent="0.25">
      <c r="E187" s="21">
        <v>0.149999999999999</v>
      </c>
      <c r="F187" s="21">
        <v>0.9886859966642596</v>
      </c>
      <c r="G187" s="22">
        <f t="shared" si="7"/>
        <v>3.3391723839563403E-2</v>
      </c>
      <c r="H187" s="22">
        <f t="shared" si="8"/>
        <v>-8.7601685366334905E-2</v>
      </c>
      <c r="I187" s="22">
        <f t="shared" si="9"/>
        <v>3.3430094115958514E-2</v>
      </c>
    </row>
    <row r="188" spans="5:9" x14ac:dyDescent="0.25">
      <c r="E188" s="21">
        <v>0.13999999999999899</v>
      </c>
      <c r="F188" s="21">
        <v>0.99015150355892523</v>
      </c>
      <c r="G188" s="22">
        <f t="shared" si="7"/>
        <v>3.250465566835202E-2</v>
      </c>
      <c r="H188" s="22">
        <f t="shared" si="8"/>
        <v>-8.7934690878411978E-2</v>
      </c>
      <c r="I188" s="22">
        <f t="shared" si="9"/>
        <v>3.2543318217651426E-2</v>
      </c>
    </row>
    <row r="189" spans="5:9" x14ac:dyDescent="0.25">
      <c r="E189" s="21">
        <v>0.12999999999999901</v>
      </c>
      <c r="F189" s="21">
        <v>0.99151399384980965</v>
      </c>
      <c r="G189" s="22">
        <f t="shared" si="7"/>
        <v>3.1615540178435611E-2</v>
      </c>
      <c r="H189" s="22">
        <f t="shared" si="8"/>
        <v>-8.8258258079489213E-2</v>
      </c>
      <c r="I189" s="22">
        <f t="shared" si="9"/>
        <v>3.1654487779031737E-2</v>
      </c>
    </row>
    <row r="190" spans="5:9" x14ac:dyDescent="0.25">
      <c r="E190" s="21">
        <v>0.119999999999999</v>
      </c>
      <c r="F190" s="21">
        <v>0.99277389167926866</v>
      </c>
      <c r="G190" s="22">
        <f t="shared" si="7"/>
        <v>3.0724385799082335E-2</v>
      </c>
      <c r="H190" s="22">
        <f t="shared" si="8"/>
        <v>-8.857242582920008E-2</v>
      </c>
      <c r="I190" s="22">
        <f t="shared" si="9"/>
        <v>3.0763611172168682E-2</v>
      </c>
    </row>
    <row r="191" spans="5:9" x14ac:dyDescent="0.25">
      <c r="E191" s="21">
        <v>0.109999999999999</v>
      </c>
      <c r="F191" s="21">
        <v>0.99393158718294095</v>
      </c>
      <c r="G191" s="22">
        <f t="shared" si="7"/>
        <v>2.983120028372184E-2</v>
      </c>
      <c r="H191" s="22">
        <f t="shared" si="8"/>
        <v>-8.8877229871505745E-2</v>
      </c>
      <c r="I191" s="22">
        <f t="shared" si="9"/>
        <v>2.9870696093670001E-2</v>
      </c>
    </row>
    <row r="192" spans="5:9" x14ac:dyDescent="0.25">
      <c r="E192" s="21">
        <v>9.9999999999999006E-2</v>
      </c>
      <c r="F192" s="21">
        <v>0.99498743710662008</v>
      </c>
      <c r="G192" s="22">
        <f t="shared" si="7"/>
        <v>2.8935990722204791E-2</v>
      </c>
      <c r="H192" s="22">
        <f t="shared" si="8"/>
        <v>-8.9172702891212624E-2</v>
      </c>
      <c r="I192" s="22">
        <f t="shared" si="9"/>
        <v>2.8975749576909415E-2</v>
      </c>
    </row>
    <row r="193" spans="5:9" x14ac:dyDescent="0.25">
      <c r="E193" s="21">
        <v>8.9999999999998997E-2</v>
      </c>
      <c r="F193" s="21">
        <v>0.99594176536582713</v>
      </c>
      <c r="G193" s="22">
        <f t="shared" si="7"/>
        <v>2.8038763551923609E-2</v>
      </c>
      <c r="H193" s="22">
        <f t="shared" si="8"/>
        <v>-8.9458874565239876E-2</v>
      </c>
      <c r="I193" s="22">
        <f t="shared" si="9"/>
        <v>2.8078778003116006E-2</v>
      </c>
    </row>
    <row r="194" spans="5:9" x14ac:dyDescent="0.25">
      <c r="E194" s="21">
        <v>7.9999999999999002E-2</v>
      </c>
      <c r="F194" s="21">
        <v>0.99679486355016911</v>
      </c>
      <c r="G194" s="22">
        <f t="shared" si="7"/>
        <v>2.713952456783595E-2</v>
      </c>
      <c r="H194" s="22">
        <f t="shared" si="8"/>
        <v>-8.9735771608828493E-2</v>
      </c>
      <c r="I194" s="22">
        <f t="shared" si="9"/>
        <v>2.717978711136711E-2</v>
      </c>
    </row>
    <row r="195" spans="5:9" x14ac:dyDescent="0.25">
      <c r="E195" s="21">
        <v>6.9999999999998994E-2</v>
      </c>
      <c r="F195" s="21">
        <v>0.99754699137434122</v>
      </c>
      <c r="G195" s="22">
        <f t="shared" ref="G195:G202" si="10">$B$12*E195+$B$13*F195</f>
        <v>2.6238278931427772E-2</v>
      </c>
      <c r="H195" s="22">
        <f t="shared" ref="H195:H202" si="11">$B$13*E195-$B$12*F195</f>
        <v>-9.0003417816861789E-2</v>
      </c>
      <c r="I195" s="22">
        <f t="shared" ref="I195:I202" si="12">$B$14*G195+($B$14^2*H195^2)/200</f>
        <v>2.6278782007521356E-2</v>
      </c>
    </row>
    <row r="196" spans="5:9" x14ac:dyDescent="0.25">
      <c r="E196" s="21">
        <v>5.9999999999999103E-2</v>
      </c>
      <c r="F196" s="21">
        <v>0.99819837707742243</v>
      </c>
      <c r="G196" s="22">
        <f t="shared" si="10"/>
        <v>2.5335031178648805E-2</v>
      </c>
      <c r="H196" s="22">
        <f t="shared" si="11"/>
        <v>-9.0261834100448524E-2</v>
      </c>
      <c r="I196" s="22">
        <f t="shared" si="12"/>
        <v>2.537576717212469E-2</v>
      </c>
    </row>
    <row r="197" spans="5:9" x14ac:dyDescent="0.25">
      <c r="E197" s="21">
        <v>4.9999999999998997E-2</v>
      </c>
      <c r="F197" s="21">
        <v>0.99874921777190895</v>
      </c>
      <c r="G197" s="22">
        <f t="shared" si="10"/>
        <v>2.4429785226849101E-2</v>
      </c>
      <c r="H197" s="22">
        <f t="shared" si="11"/>
        <v>-9.0511038518901243E-2</v>
      </c>
      <c r="I197" s="22">
        <f t="shared" si="12"/>
        <v>2.447074646731795E-2</v>
      </c>
    </row>
    <row r="198" spans="5:9" x14ac:dyDescent="0.25">
      <c r="E198" s="21">
        <v>3.9999999999999002E-2</v>
      </c>
      <c r="F198" s="21">
        <v>0.9991996797437438</v>
      </c>
      <c r="G198" s="22">
        <f t="shared" si="10"/>
        <v>2.3522544380741795E-2</v>
      </c>
      <c r="H198" s="22">
        <f t="shared" si="11"/>
        <v>-9.075104630722465E-2</v>
      </c>
      <c r="I198" s="22">
        <f t="shared" si="12"/>
        <v>2.3563723142771074E-2</v>
      </c>
    </row>
    <row r="199" spans="5:9" x14ac:dyDescent="0.25">
      <c r="E199" s="21">
        <v>2.9999999999999E-2</v>
      </c>
      <c r="F199" s="21">
        <v>0.99954989870441191</v>
      </c>
      <c r="G199" s="22">
        <f t="shared" si="10"/>
        <v>2.2613311337413098E-2</v>
      </c>
      <c r="H199" s="22">
        <f t="shared" si="11"/>
        <v>-9.0981869899212475E-2</v>
      </c>
      <c r="I199" s="22">
        <f t="shared" si="12"/>
        <v>2.2654699840664885E-2</v>
      </c>
    </row>
    <row r="200" spans="5:9" x14ac:dyDescent="0.25">
      <c r="E200" s="21">
        <v>1.9999999999999001E-2</v>
      </c>
      <c r="F200" s="21">
        <v>0.99979997999599901</v>
      </c>
      <c r="G200" s="22">
        <f t="shared" si="10"/>
        <v>2.1702088190397584E-2</v>
      </c>
      <c r="H200" s="22">
        <f t="shared" si="11"/>
        <v>-9.1203518946234782E-2</v>
      </c>
      <c r="I200" s="22">
        <f t="shared" si="12"/>
        <v>2.1743678599738466E-2</v>
      </c>
    </row>
    <row r="201" spans="5:9" x14ac:dyDescent="0.25">
      <c r="E201" s="21">
        <v>9.9999999999990097E-3</v>
      </c>
      <c r="F201" s="21">
        <v>0.99994999874993751</v>
      </c>
      <c r="G201" s="22">
        <f t="shared" si="10"/>
        <v>2.0788876432833076E-2</v>
      </c>
      <c r="H201" s="22">
        <f t="shared" si="11"/>
        <v>-9.1416000331782168E-2</v>
      </c>
      <c r="I201" s="22">
        <f t="shared" si="12"/>
        <v>2.0830660858416377E-2</v>
      </c>
    </row>
    <row r="202" spans="5:9" x14ac:dyDescent="0.25">
      <c r="E202" s="23">
        <v>0</v>
      </c>
      <c r="F202" s="23">
        <v>1</v>
      </c>
      <c r="G202" s="24">
        <f t="shared" si="10"/>
        <v>1.9873676959706307E-2</v>
      </c>
      <c r="H202" s="24">
        <f t="shared" si="11"/>
        <v>-9.1619318181818177E-2</v>
      </c>
      <c r="I202" s="24">
        <f t="shared" si="12"/>
        <v>1.9915647457026814E-2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opLeftCell="J1" workbookViewId="0">
      <selection activeCell="B25" sqref="B25"/>
    </sheetView>
  </sheetViews>
  <sheetFormatPr defaultRowHeight="15" x14ac:dyDescent="0.25"/>
  <sheetData>
    <row r="1" spans="1:11" x14ac:dyDescent="0.25">
      <c r="A1" s="31" t="s">
        <v>24</v>
      </c>
      <c r="B1" s="38">
        <f>'Резултати мјерења'!B22</f>
        <v>9.375E-2</v>
      </c>
      <c r="C1" s="33"/>
      <c r="D1" s="2"/>
      <c r="E1" s="42" t="s">
        <v>37</v>
      </c>
      <c r="F1" s="42" t="s">
        <v>63</v>
      </c>
      <c r="G1" s="42" t="s">
        <v>64</v>
      </c>
      <c r="H1" s="42" t="s">
        <v>65</v>
      </c>
      <c r="I1" s="42" t="s">
        <v>66</v>
      </c>
      <c r="J1" s="42" t="s">
        <v>67</v>
      </c>
      <c r="K1" s="42" t="s">
        <v>68</v>
      </c>
    </row>
    <row r="2" spans="1:11" x14ac:dyDescent="0.25">
      <c r="A2" s="31" t="s">
        <v>23</v>
      </c>
      <c r="B2" s="38">
        <f>'Резултати мјерења'!B23</f>
        <v>9.1619318181818177E-2</v>
      </c>
      <c r="C2" s="33"/>
      <c r="D2" s="2"/>
      <c r="E2" s="35">
        <v>0</v>
      </c>
      <c r="F2" s="53">
        <f>E2*$B$7+(E2^2*$B$8^2)/200</f>
        <v>0</v>
      </c>
      <c r="G2" s="53">
        <f>E2*$B$12+(E2^2*$B$13^2)/200</f>
        <v>0</v>
      </c>
      <c r="H2" s="53">
        <f>E2*$B$17+(E2^2*$B$18^2)/200</f>
        <v>0</v>
      </c>
      <c r="I2" s="35">
        <f>$B$20-F2*$B$20</f>
        <v>110</v>
      </c>
      <c r="J2" s="35">
        <f>$B$20-G2*$B$20</f>
        <v>110</v>
      </c>
      <c r="K2" s="35">
        <f>$B$20-H2*$B$20</f>
        <v>110</v>
      </c>
    </row>
    <row r="3" spans="1:11" x14ac:dyDescent="0.25">
      <c r="A3" s="31" t="s">
        <v>22</v>
      </c>
      <c r="B3" s="38">
        <f>'Резултати мјерења'!B24</f>
        <v>1.9873676959706307E-2</v>
      </c>
      <c r="C3" s="33"/>
      <c r="D3" s="2"/>
      <c r="E3" s="35">
        <v>0.01</v>
      </c>
      <c r="F3" s="53">
        <f t="shared" ref="F3:F66" si="0">E3*$B$7+(E3^2*$B$8^2)/200</f>
        <v>6.1371499501249439E-4</v>
      </c>
      <c r="G3" s="53">
        <f t="shared" ref="G3:G66" si="1">E3*$B$12+(E3^2*$B$13^2)/200</f>
        <v>9.1619337929969966E-4</v>
      </c>
      <c r="H3" s="53">
        <f t="shared" ref="H3:H66" si="2">E3*$B$17+(E3^2*$B$18^2)/200</f>
        <v>8.5219737054874638E-4</v>
      </c>
      <c r="I3" s="37">
        <f t="shared" ref="I3:I66" si="3">$B$20-F3*$B$20</f>
        <v>109.93249135054863</v>
      </c>
      <c r="J3" s="35">
        <f t="shared" ref="J3:J66" si="4">$B$20-G3*$B$20</f>
        <v>109.89921872827703</v>
      </c>
      <c r="K3" s="35">
        <f t="shared" ref="K3:K66" si="5">$B$20-H3*$B$20</f>
        <v>109.90625828923964</v>
      </c>
    </row>
    <row r="4" spans="1:11" x14ac:dyDescent="0.25">
      <c r="A4" s="33"/>
      <c r="B4" s="32"/>
      <c r="C4" s="33"/>
      <c r="D4" s="2"/>
      <c r="E4" s="35">
        <v>0.02</v>
      </c>
      <c r="F4" s="53">
        <f t="shared" si="0"/>
        <v>1.2274350126573624E-3</v>
      </c>
      <c r="G4" s="53">
        <f t="shared" si="1"/>
        <v>1.8323871535624353E-3</v>
      </c>
      <c r="H4" s="53">
        <f t="shared" si="2"/>
        <v>1.7043962677694194E-3</v>
      </c>
      <c r="I4" s="35">
        <f t="shared" si="3"/>
        <v>109.86498214860769</v>
      </c>
      <c r="J4" s="35">
        <f t="shared" si="4"/>
        <v>109.79843741310813</v>
      </c>
      <c r="K4" s="35">
        <f t="shared" si="5"/>
        <v>109.81251641054537</v>
      </c>
    </row>
    <row r="5" spans="1:11" ht="15.75" x14ac:dyDescent="0.25">
      <c r="A5" s="45" t="s">
        <v>49</v>
      </c>
      <c r="B5" s="40">
        <v>0.8</v>
      </c>
      <c r="C5" s="33" t="s">
        <v>50</v>
      </c>
      <c r="D5" s="2"/>
      <c r="E5" s="35">
        <v>0.03</v>
      </c>
      <c r="F5" s="53">
        <f t="shared" si="0"/>
        <v>1.8411600529346039E-3</v>
      </c>
      <c r="G5" s="53">
        <f t="shared" si="1"/>
        <v>2.7485813227882071E-3</v>
      </c>
      <c r="H5" s="53">
        <f t="shared" si="2"/>
        <v>2.5565966916620188E-3</v>
      </c>
      <c r="I5" s="35">
        <f t="shared" si="3"/>
        <v>109.79747239417719</v>
      </c>
      <c r="J5" s="35">
        <f t="shared" si="4"/>
        <v>109.69765605449329</v>
      </c>
      <c r="K5" s="35">
        <f t="shared" si="5"/>
        <v>109.71877436391718</v>
      </c>
    </row>
    <row r="6" spans="1:11" ht="15.75" x14ac:dyDescent="0.25">
      <c r="A6" s="46" t="s">
        <v>62</v>
      </c>
      <c r="B6" s="40">
        <f>-((1-$B$5^2)^(1/2))</f>
        <v>-0.59999999999999987</v>
      </c>
      <c r="C6" s="33" t="s">
        <v>50</v>
      </c>
      <c r="D6" s="2"/>
      <c r="E6" s="35">
        <v>0.04</v>
      </c>
      <c r="F6" s="53">
        <f t="shared" si="0"/>
        <v>2.4548901158442187E-3</v>
      </c>
      <c r="G6" s="53">
        <f t="shared" si="1"/>
        <v>3.6647758869770143E-3</v>
      </c>
      <c r="H6" s="53">
        <f t="shared" si="2"/>
        <v>3.4087986422265452E-3</v>
      </c>
      <c r="I6" s="35">
        <f t="shared" si="3"/>
        <v>109.72996208725714</v>
      </c>
      <c r="J6" s="35">
        <f t="shared" si="4"/>
        <v>109.59687465243253</v>
      </c>
      <c r="K6" s="35">
        <f t="shared" si="5"/>
        <v>109.62503214935508</v>
      </c>
    </row>
    <row r="7" spans="1:11" x14ac:dyDescent="0.25">
      <c r="A7" s="31" t="s">
        <v>51</v>
      </c>
      <c r="B7" s="38">
        <f>$B$2*$B$5+$B$3*$B$6</f>
        <v>6.137124836963076E-2</v>
      </c>
      <c r="C7" s="33"/>
      <c r="D7" s="2"/>
      <c r="E7" s="35">
        <v>0.05</v>
      </c>
      <c r="F7" s="53">
        <f t="shared" si="0"/>
        <v>3.0686252013862074E-3</v>
      </c>
      <c r="G7" s="53">
        <f t="shared" si="1"/>
        <v>4.5809708461288573E-3</v>
      </c>
      <c r="H7" s="53">
        <f t="shared" si="2"/>
        <v>4.2610021194629975E-3</v>
      </c>
      <c r="I7" s="35">
        <f t="shared" si="3"/>
        <v>109.66245122784751</v>
      </c>
      <c r="J7" s="35">
        <f t="shared" si="4"/>
        <v>109.49609320692582</v>
      </c>
      <c r="K7" s="35">
        <f t="shared" si="5"/>
        <v>109.53128976685908</v>
      </c>
    </row>
    <row r="8" spans="1:11" x14ac:dyDescent="0.25">
      <c r="A8" s="31" t="s">
        <v>52</v>
      </c>
      <c r="B8" s="38">
        <f>$B$3*$B$5-$B$2*$B$6</f>
        <v>7.0870532476855944E-2</v>
      </c>
      <c r="C8" s="33"/>
      <c r="D8" s="2"/>
      <c r="E8" s="35">
        <v>0.06</v>
      </c>
      <c r="F8" s="53">
        <f t="shared" si="0"/>
        <v>3.6823653095605694E-3</v>
      </c>
      <c r="G8" s="53">
        <f t="shared" si="1"/>
        <v>5.4971662002437369E-3</v>
      </c>
      <c r="H8" s="53">
        <f t="shared" si="2"/>
        <v>5.1132071233713772E-3</v>
      </c>
      <c r="I8" s="35">
        <f t="shared" si="3"/>
        <v>109.59493981594834</v>
      </c>
      <c r="J8" s="35">
        <f t="shared" si="4"/>
        <v>109.39531171797319</v>
      </c>
      <c r="K8" s="35">
        <f t="shared" si="5"/>
        <v>109.43754721642915</v>
      </c>
    </row>
    <row r="9" spans="1:11" x14ac:dyDescent="0.25">
      <c r="A9" s="33"/>
      <c r="B9" s="32"/>
      <c r="C9" s="33"/>
      <c r="D9" s="2"/>
      <c r="E9" s="35">
        <v>7.0000000000000007E-2</v>
      </c>
      <c r="F9" s="53">
        <f t="shared" si="0"/>
        <v>4.2961104403673048E-3</v>
      </c>
      <c r="G9" s="53">
        <f t="shared" si="1"/>
        <v>6.4133619493216528E-3</v>
      </c>
      <c r="H9" s="53">
        <f t="shared" si="2"/>
        <v>5.9654136539516837E-3</v>
      </c>
      <c r="I9" s="35">
        <f t="shared" si="3"/>
        <v>109.52742785155959</v>
      </c>
      <c r="J9" s="35">
        <f t="shared" si="4"/>
        <v>109.29453018557462</v>
      </c>
      <c r="K9" s="35">
        <f t="shared" si="5"/>
        <v>109.34380449806531</v>
      </c>
    </row>
    <row r="10" spans="1:11" ht="15.75" x14ac:dyDescent="0.25">
      <c r="A10" s="46" t="s">
        <v>53</v>
      </c>
      <c r="B10" s="40">
        <v>1</v>
      </c>
      <c r="C10" s="33"/>
      <c r="D10" s="2"/>
      <c r="E10" s="35">
        <v>0.08</v>
      </c>
      <c r="F10" s="53">
        <f t="shared" si="0"/>
        <v>4.9098605938064149E-3</v>
      </c>
      <c r="G10" s="53">
        <f t="shared" si="1"/>
        <v>7.3295580933626031E-3</v>
      </c>
      <c r="H10" s="53">
        <f t="shared" si="2"/>
        <v>6.8176217112039146E-3</v>
      </c>
      <c r="I10" s="35">
        <f t="shared" si="3"/>
        <v>109.4599153346813</v>
      </c>
      <c r="J10" s="35">
        <f t="shared" si="4"/>
        <v>109.19374860973011</v>
      </c>
      <c r="K10" s="35">
        <f t="shared" si="5"/>
        <v>109.25006161176756</v>
      </c>
    </row>
    <row r="11" spans="1:11" ht="15.75" x14ac:dyDescent="0.25">
      <c r="A11" s="46" t="s">
        <v>54</v>
      </c>
      <c r="B11" s="40">
        <f>-((1-$B$10^2)^(1/2))</f>
        <v>0</v>
      </c>
      <c r="C11" s="33"/>
      <c r="D11" s="2"/>
      <c r="E11" s="35">
        <v>0.09</v>
      </c>
      <c r="F11" s="53">
        <f t="shared" si="0"/>
        <v>5.5236157698778975E-3</v>
      </c>
      <c r="G11" s="53">
        <f t="shared" si="1"/>
        <v>8.2457546323665906E-3</v>
      </c>
      <c r="H11" s="53">
        <f t="shared" si="2"/>
        <v>7.6698312951280732E-3</v>
      </c>
      <c r="I11" s="35">
        <f t="shared" si="3"/>
        <v>109.39240226531344</v>
      </c>
      <c r="J11" s="35">
        <f t="shared" si="4"/>
        <v>109.09296699043968</v>
      </c>
      <c r="K11" s="35">
        <f t="shared" si="5"/>
        <v>109.15631855753591</v>
      </c>
    </row>
    <row r="12" spans="1:11" x14ac:dyDescent="0.25">
      <c r="A12" s="31" t="s">
        <v>55</v>
      </c>
      <c r="B12" s="38">
        <f>$B$2*$B$10+$B$3*$B$11</f>
        <v>9.1619318181818177E-2</v>
      </c>
      <c r="C12" s="33"/>
      <c r="D12" s="2"/>
      <c r="E12" s="35">
        <v>0.1</v>
      </c>
      <c r="F12" s="53">
        <f t="shared" si="0"/>
        <v>6.1373759685817535E-3</v>
      </c>
      <c r="G12" s="53">
        <f t="shared" si="1"/>
        <v>9.1619515663336117E-3</v>
      </c>
      <c r="H12" s="53">
        <f t="shared" si="2"/>
        <v>8.5220424057241596E-3</v>
      </c>
      <c r="I12" s="35">
        <f t="shared" si="3"/>
        <v>109.32488864345601</v>
      </c>
      <c r="J12" s="35">
        <f t="shared" si="4"/>
        <v>108.9921853277033</v>
      </c>
      <c r="K12" s="35">
        <f t="shared" si="5"/>
        <v>109.06257533537034</v>
      </c>
    </row>
    <row r="13" spans="1:11" x14ac:dyDescent="0.25">
      <c r="A13" s="31" t="s">
        <v>56</v>
      </c>
      <c r="B13" s="38">
        <f>$B$3*$B$10-$B$2*$B$11</f>
        <v>1.9873676959706307E-2</v>
      </c>
      <c r="C13" s="33"/>
      <c r="D13" s="2"/>
      <c r="E13" s="35">
        <v>0.11</v>
      </c>
      <c r="F13" s="53">
        <f t="shared" si="0"/>
        <v>6.7511411899179837E-3</v>
      </c>
      <c r="G13" s="53">
        <f t="shared" si="1"/>
        <v>1.0078148895263673E-2</v>
      </c>
      <c r="H13" s="53">
        <f t="shared" si="2"/>
        <v>9.3742550429921721E-3</v>
      </c>
      <c r="I13" s="35">
        <f t="shared" si="3"/>
        <v>109.25737446910902</v>
      </c>
      <c r="J13" s="35">
        <f t="shared" si="4"/>
        <v>108.89140362152099</v>
      </c>
      <c r="K13" s="35">
        <f t="shared" si="5"/>
        <v>108.96883194527086</v>
      </c>
    </row>
    <row r="14" spans="1:11" x14ac:dyDescent="0.25">
      <c r="A14" s="31"/>
      <c r="B14" s="32"/>
      <c r="C14" s="33"/>
      <c r="D14" s="2"/>
      <c r="E14" s="35">
        <v>0.12</v>
      </c>
      <c r="F14" s="53">
        <f t="shared" si="0"/>
        <v>7.3649114338865873E-3</v>
      </c>
      <c r="G14" s="53">
        <f t="shared" si="1"/>
        <v>1.0994346619156766E-2</v>
      </c>
      <c r="H14" s="53">
        <f t="shared" si="2"/>
        <v>1.0226469206932111E-2</v>
      </c>
      <c r="I14" s="35">
        <f t="shared" si="3"/>
        <v>109.18985974227247</v>
      </c>
      <c r="J14" s="35">
        <f t="shared" si="4"/>
        <v>108.79062187189275</v>
      </c>
      <c r="K14" s="35">
        <f t="shared" si="5"/>
        <v>108.87508838723747</v>
      </c>
    </row>
    <row r="15" spans="1:11" ht="15.75" x14ac:dyDescent="0.25">
      <c r="A15" s="46" t="s">
        <v>57</v>
      </c>
      <c r="B15" s="40">
        <v>0.8</v>
      </c>
      <c r="C15" s="33" t="s">
        <v>58</v>
      </c>
      <c r="D15" s="2"/>
      <c r="E15" s="35">
        <v>0.13</v>
      </c>
      <c r="F15" s="53">
        <f t="shared" si="0"/>
        <v>7.9786867004875642E-3</v>
      </c>
      <c r="G15" s="53">
        <f t="shared" si="1"/>
        <v>1.1910544738012896E-2</v>
      </c>
      <c r="H15" s="53">
        <f t="shared" si="2"/>
        <v>1.1078684897543975E-2</v>
      </c>
      <c r="I15" s="35">
        <f t="shared" si="3"/>
        <v>109.12234446294637</v>
      </c>
      <c r="J15" s="35">
        <f t="shared" si="4"/>
        <v>108.68984007881858</v>
      </c>
      <c r="K15" s="35">
        <f t="shared" si="5"/>
        <v>108.78134466127017</v>
      </c>
    </row>
    <row r="16" spans="1:11" x14ac:dyDescent="0.25">
      <c r="A16" s="31" t="s">
        <v>59</v>
      </c>
      <c r="B16" s="40">
        <f>(1-$B$15^2)^(1/2)</f>
        <v>0.59999999999999987</v>
      </c>
      <c r="C16" s="33" t="s">
        <v>58</v>
      </c>
      <c r="D16" s="2"/>
      <c r="E16" s="35">
        <v>0.14000000000000001</v>
      </c>
      <c r="F16" s="53">
        <f t="shared" si="0"/>
        <v>8.5924669897209146E-3</v>
      </c>
      <c r="G16" s="53">
        <f t="shared" si="1"/>
        <v>1.2826743251832064E-2</v>
      </c>
      <c r="H16" s="53">
        <f t="shared" si="2"/>
        <v>1.1930902114827767E-2</v>
      </c>
      <c r="I16" s="35">
        <f t="shared" si="3"/>
        <v>109.0548286311307</v>
      </c>
      <c r="J16" s="35">
        <f t="shared" si="4"/>
        <v>108.58905824229848</v>
      </c>
      <c r="K16" s="35">
        <f t="shared" si="5"/>
        <v>108.68760076736895</v>
      </c>
    </row>
    <row r="17" spans="1:11" x14ac:dyDescent="0.25">
      <c r="A17" s="31" t="s">
        <v>60</v>
      </c>
      <c r="B17" s="38">
        <f>$B$2*$B$15+$B$3*$B$16</f>
        <v>8.5219660721278317E-2</v>
      </c>
      <c r="C17" s="33"/>
      <c r="D17" s="2"/>
      <c r="E17" s="35">
        <v>0.15</v>
      </c>
      <c r="F17" s="53">
        <f t="shared" si="0"/>
        <v>9.2062523015866392E-3</v>
      </c>
      <c r="G17" s="53">
        <f t="shared" si="1"/>
        <v>1.3742942160614266E-2</v>
      </c>
      <c r="H17" s="53">
        <f t="shared" si="2"/>
        <v>1.2783120858783484E-2</v>
      </c>
      <c r="I17" s="35">
        <f t="shared" si="3"/>
        <v>108.98731224682547</v>
      </c>
      <c r="J17" s="35">
        <f t="shared" si="4"/>
        <v>108.48827636233243</v>
      </c>
      <c r="K17" s="35">
        <f t="shared" si="5"/>
        <v>108.59385670553382</v>
      </c>
    </row>
    <row r="18" spans="1:11" x14ac:dyDescent="0.25">
      <c r="A18" s="31" t="s">
        <v>61</v>
      </c>
      <c r="B18" s="38">
        <f>$B$3*$B$15-$B$2*$B$16</f>
        <v>-3.9072649341325844E-2</v>
      </c>
      <c r="C18" s="33"/>
      <c r="D18" s="2"/>
      <c r="E18" s="35">
        <v>0.16</v>
      </c>
      <c r="F18" s="53">
        <f t="shared" si="0"/>
        <v>9.8200426360847363E-3</v>
      </c>
      <c r="G18" s="53">
        <f t="shared" si="1"/>
        <v>1.4659141464359503E-2</v>
      </c>
      <c r="H18" s="53">
        <f t="shared" si="2"/>
        <v>1.3635341129411128E-2</v>
      </c>
      <c r="I18" s="35">
        <f t="shared" si="3"/>
        <v>108.91979531003068</v>
      </c>
      <c r="J18" s="35">
        <f t="shared" si="4"/>
        <v>108.38749443892046</v>
      </c>
      <c r="K18" s="35">
        <f t="shared" si="5"/>
        <v>108.50011247576478</v>
      </c>
    </row>
    <row r="19" spans="1:11" x14ac:dyDescent="0.25">
      <c r="A19" s="33"/>
      <c r="B19" s="32"/>
      <c r="C19" s="33"/>
      <c r="D19" s="2"/>
      <c r="E19" s="35">
        <v>0.17</v>
      </c>
      <c r="F19" s="53">
        <f t="shared" si="0"/>
        <v>1.0433837993215208E-2</v>
      </c>
      <c r="G19" s="53">
        <f t="shared" si="1"/>
        <v>1.5575341163067779E-2</v>
      </c>
      <c r="H19" s="53">
        <f t="shared" si="2"/>
        <v>1.4487562926710702E-2</v>
      </c>
      <c r="I19" s="35">
        <f t="shared" si="3"/>
        <v>108.85227782074632</v>
      </c>
      <c r="J19" s="35">
        <f t="shared" si="4"/>
        <v>108.28671247206255</v>
      </c>
      <c r="K19" s="35">
        <f t="shared" si="5"/>
        <v>108.40636807806182</v>
      </c>
    </row>
    <row r="20" spans="1:11" x14ac:dyDescent="0.25">
      <c r="A20" s="31" t="s">
        <v>27</v>
      </c>
      <c r="B20" s="32">
        <v>110</v>
      </c>
      <c r="C20" s="35" t="s">
        <v>26</v>
      </c>
      <c r="D20" s="2"/>
      <c r="E20" s="35">
        <v>0.18</v>
      </c>
      <c r="F20" s="53">
        <f t="shared" si="0"/>
        <v>1.1047638372978053E-2</v>
      </c>
      <c r="G20" s="53">
        <f t="shared" si="1"/>
        <v>1.6491541256739087E-2</v>
      </c>
      <c r="H20" s="53">
        <f t="shared" si="2"/>
        <v>1.5339786250682198E-2</v>
      </c>
      <c r="I20" s="35">
        <f t="shared" si="3"/>
        <v>108.78475977897241</v>
      </c>
      <c r="J20" s="35">
        <f t="shared" si="4"/>
        <v>108.1859304617587</v>
      </c>
      <c r="K20" s="35">
        <f t="shared" si="5"/>
        <v>108.31262351242496</v>
      </c>
    </row>
    <row r="21" spans="1:11" x14ac:dyDescent="0.25">
      <c r="D21" s="2"/>
      <c r="E21" s="35">
        <v>0.19</v>
      </c>
      <c r="F21" s="53">
        <f t="shared" si="0"/>
        <v>1.1661443775373271E-2</v>
      </c>
      <c r="G21" s="53">
        <f t="shared" si="1"/>
        <v>1.7407741745373434E-2</v>
      </c>
      <c r="H21" s="53">
        <f t="shared" si="2"/>
        <v>1.6192011101325624E-2</v>
      </c>
      <c r="I21" s="35">
        <f t="shared" si="3"/>
        <v>108.71724118470894</v>
      </c>
      <c r="J21" s="35">
        <f t="shared" si="4"/>
        <v>108.08514840800892</v>
      </c>
      <c r="K21" s="35">
        <f t="shared" si="5"/>
        <v>108.21887877885418</v>
      </c>
    </row>
    <row r="22" spans="1:11" x14ac:dyDescent="0.25">
      <c r="A22" s="2"/>
      <c r="B22" s="2"/>
      <c r="C22" s="2"/>
      <c r="D22" s="2"/>
      <c r="E22" s="35">
        <v>0.2</v>
      </c>
      <c r="F22" s="53">
        <f t="shared" si="0"/>
        <v>1.2275254200400862E-2</v>
      </c>
      <c r="G22" s="53">
        <f t="shared" si="1"/>
        <v>1.8323942628970816E-2</v>
      </c>
      <c r="H22" s="53">
        <f t="shared" si="2"/>
        <v>1.7044237478640974E-2</v>
      </c>
      <c r="I22" s="35">
        <f t="shared" si="3"/>
        <v>108.64972203795591</v>
      </c>
      <c r="J22" s="35">
        <f t="shared" si="4"/>
        <v>107.98436631081321</v>
      </c>
      <c r="K22" s="35">
        <f t="shared" si="5"/>
        <v>108.1251338773495</v>
      </c>
    </row>
    <row r="23" spans="1:11" x14ac:dyDescent="0.25">
      <c r="A23" s="2"/>
      <c r="B23" s="2"/>
      <c r="C23" s="2"/>
      <c r="D23" s="2"/>
      <c r="E23" s="35">
        <v>0.21</v>
      </c>
      <c r="F23" s="53">
        <f t="shared" si="0"/>
        <v>1.2889069648060828E-2</v>
      </c>
      <c r="G23" s="53">
        <f t="shared" si="1"/>
        <v>1.9240143907531232E-2</v>
      </c>
      <c r="H23" s="53">
        <f t="shared" si="2"/>
        <v>1.7896465382628252E-2</v>
      </c>
      <c r="I23" s="35">
        <f t="shared" si="3"/>
        <v>108.58220233871332</v>
      </c>
      <c r="J23" s="35">
        <f t="shared" si="4"/>
        <v>107.88358417017156</v>
      </c>
      <c r="K23" s="35">
        <f t="shared" si="5"/>
        <v>108.03138880791089</v>
      </c>
    </row>
    <row r="24" spans="1:11" x14ac:dyDescent="0.25">
      <c r="A24" s="2"/>
      <c r="B24" s="2"/>
      <c r="C24" s="2"/>
      <c r="D24" s="2"/>
      <c r="E24" s="35">
        <v>0.22</v>
      </c>
      <c r="F24" s="53">
        <f t="shared" si="0"/>
        <v>1.3502890118353168E-2</v>
      </c>
      <c r="G24" s="53">
        <f t="shared" si="1"/>
        <v>2.015634558105469E-2</v>
      </c>
      <c r="H24" s="53">
        <f t="shared" si="2"/>
        <v>1.8748694813287455E-2</v>
      </c>
      <c r="I24" s="35">
        <f t="shared" si="3"/>
        <v>108.51468208698115</v>
      </c>
      <c r="J24" s="35">
        <f t="shared" si="4"/>
        <v>107.78280198608398</v>
      </c>
      <c r="K24" s="35">
        <f t="shared" si="5"/>
        <v>107.93764357053838</v>
      </c>
    </row>
    <row r="25" spans="1:11" x14ac:dyDescent="0.25">
      <c r="A25" s="2"/>
      <c r="B25" s="2"/>
      <c r="C25" s="2"/>
      <c r="D25" s="2"/>
      <c r="E25" s="35">
        <v>0.23</v>
      </c>
      <c r="F25" s="53">
        <f t="shared" si="0"/>
        <v>1.4116715611277879E-2</v>
      </c>
      <c r="G25" s="53">
        <f t="shared" si="1"/>
        <v>2.1072547649541178E-2</v>
      </c>
      <c r="H25" s="53">
        <f t="shared" si="2"/>
        <v>1.9600925770618585E-2</v>
      </c>
      <c r="I25" s="35">
        <f t="shared" si="3"/>
        <v>108.44716128275944</v>
      </c>
      <c r="J25" s="35">
        <f t="shared" si="4"/>
        <v>107.68201975855047</v>
      </c>
      <c r="K25" s="35">
        <f t="shared" si="5"/>
        <v>107.84389816523196</v>
      </c>
    </row>
    <row r="26" spans="1:11" x14ac:dyDescent="0.25">
      <c r="A26" s="2"/>
      <c r="B26" s="2"/>
      <c r="C26" s="2"/>
      <c r="D26" s="2"/>
      <c r="E26" s="35">
        <v>0.24</v>
      </c>
      <c r="F26" s="53">
        <f t="shared" si="0"/>
        <v>1.4730546126834965E-2</v>
      </c>
      <c r="G26" s="53">
        <f t="shared" si="1"/>
        <v>2.1988750112990701E-2</v>
      </c>
      <c r="H26" s="53">
        <f t="shared" si="2"/>
        <v>2.0453158254621642E-2</v>
      </c>
      <c r="I26" s="35">
        <f t="shared" si="3"/>
        <v>108.37963992604816</v>
      </c>
      <c r="J26" s="35">
        <f t="shared" si="4"/>
        <v>107.58123748757102</v>
      </c>
      <c r="K26" s="35">
        <f t="shared" si="5"/>
        <v>107.75015259199162</v>
      </c>
    </row>
    <row r="27" spans="1:11" x14ac:dyDescent="0.25">
      <c r="A27" s="2"/>
      <c r="B27" s="2"/>
      <c r="C27" s="2"/>
      <c r="D27" s="2"/>
      <c r="E27" s="35">
        <v>0.25</v>
      </c>
      <c r="F27" s="53">
        <f t="shared" si="0"/>
        <v>1.5344381665024425E-2</v>
      </c>
      <c r="G27" s="53">
        <f t="shared" si="1"/>
        <v>2.2904952971403263E-2</v>
      </c>
      <c r="H27" s="53">
        <f t="shared" si="2"/>
        <v>2.1305392265296628E-2</v>
      </c>
      <c r="I27" s="35">
        <f t="shared" si="3"/>
        <v>108.31211801684731</v>
      </c>
      <c r="J27" s="35">
        <f t="shared" si="4"/>
        <v>107.48045517314564</v>
      </c>
      <c r="K27" s="35">
        <f t="shared" si="5"/>
        <v>107.65640685081738</v>
      </c>
    </row>
    <row r="28" spans="1:11" x14ac:dyDescent="0.25">
      <c r="A28" s="2"/>
      <c r="B28" s="2"/>
      <c r="C28" s="2"/>
      <c r="D28" s="2"/>
      <c r="E28" s="35">
        <v>0.26</v>
      </c>
      <c r="F28" s="53">
        <f t="shared" si="0"/>
        <v>1.5958222225846259E-2</v>
      </c>
      <c r="G28" s="53">
        <f t="shared" si="1"/>
        <v>2.3821156224778858E-2</v>
      </c>
      <c r="H28" s="53">
        <f t="shared" si="2"/>
        <v>2.2157627802643538E-2</v>
      </c>
      <c r="I28" s="35">
        <f t="shared" si="3"/>
        <v>108.24459555515691</v>
      </c>
      <c r="J28" s="35">
        <f t="shared" si="4"/>
        <v>107.37967281527432</v>
      </c>
      <c r="K28" s="35">
        <f t="shared" si="5"/>
        <v>107.56266094170921</v>
      </c>
    </row>
    <row r="29" spans="1:11" x14ac:dyDescent="0.25">
      <c r="A29" s="2"/>
      <c r="B29" s="2"/>
      <c r="C29" s="2"/>
      <c r="D29" s="2"/>
      <c r="E29" s="35">
        <v>0.27</v>
      </c>
      <c r="F29" s="53">
        <f t="shared" si="0"/>
        <v>1.6572067809300466E-2</v>
      </c>
      <c r="G29" s="53">
        <f t="shared" si="1"/>
        <v>2.4737359873117495E-2</v>
      </c>
      <c r="H29" s="53">
        <f t="shared" si="2"/>
        <v>2.3009864866662375E-2</v>
      </c>
      <c r="I29" s="35">
        <f t="shared" si="3"/>
        <v>108.17707254097695</v>
      </c>
      <c r="J29" s="35">
        <f t="shared" si="4"/>
        <v>107.27889041395707</v>
      </c>
      <c r="K29" s="35">
        <f t="shared" si="5"/>
        <v>107.46891486466714</v>
      </c>
    </row>
    <row r="30" spans="1:11" x14ac:dyDescent="0.25">
      <c r="A30" s="2"/>
      <c r="B30" s="2"/>
      <c r="C30" s="2"/>
      <c r="D30" s="2"/>
      <c r="E30" s="35">
        <v>0.28000000000000003</v>
      </c>
      <c r="F30" s="53">
        <f t="shared" si="0"/>
        <v>1.7185918415387046E-2</v>
      </c>
      <c r="G30" s="53">
        <f t="shared" si="1"/>
        <v>2.5653563916419164E-2</v>
      </c>
      <c r="H30" s="53">
        <f t="shared" si="2"/>
        <v>2.3862103457353141E-2</v>
      </c>
      <c r="I30" s="35">
        <f t="shared" si="3"/>
        <v>108.10954897430743</v>
      </c>
      <c r="J30" s="35">
        <f t="shared" si="4"/>
        <v>107.17810796919389</v>
      </c>
      <c r="K30" s="35">
        <f t="shared" si="5"/>
        <v>107.37516861969115</v>
      </c>
    </row>
    <row r="31" spans="1:11" x14ac:dyDescent="0.25">
      <c r="A31" s="2"/>
      <c r="B31" s="2"/>
      <c r="C31" s="2"/>
      <c r="D31" s="2"/>
      <c r="E31" s="35">
        <v>0.28999999999999998</v>
      </c>
      <c r="F31" s="53">
        <f t="shared" si="0"/>
        <v>1.7799774044106001E-2</v>
      </c>
      <c r="G31" s="53">
        <f t="shared" si="1"/>
        <v>2.6569768354683866E-2</v>
      </c>
      <c r="H31" s="53">
        <f t="shared" si="2"/>
        <v>2.4714343574715827E-2</v>
      </c>
      <c r="I31" s="35">
        <f t="shared" si="3"/>
        <v>108.04202485514834</v>
      </c>
      <c r="J31" s="35">
        <f t="shared" si="4"/>
        <v>107.07732548098477</v>
      </c>
      <c r="K31" s="35">
        <f t="shared" si="5"/>
        <v>107.28142220678126</v>
      </c>
    </row>
    <row r="32" spans="1:11" x14ac:dyDescent="0.25">
      <c r="A32" s="2"/>
      <c r="B32" s="2"/>
      <c r="C32" s="2"/>
      <c r="D32" s="2"/>
      <c r="E32" s="35">
        <v>0.3</v>
      </c>
      <c r="F32" s="53">
        <f t="shared" si="0"/>
        <v>1.8413634695457325E-2</v>
      </c>
      <c r="G32" s="53">
        <f t="shared" si="1"/>
        <v>2.7485973187911607E-2</v>
      </c>
      <c r="H32" s="53">
        <f t="shared" si="2"/>
        <v>2.5566585218750441E-2</v>
      </c>
      <c r="I32" s="35">
        <f t="shared" si="3"/>
        <v>107.9745001834997</v>
      </c>
      <c r="J32" s="35">
        <f t="shared" si="4"/>
        <v>106.97654294932973</v>
      </c>
      <c r="K32" s="35">
        <f t="shared" si="5"/>
        <v>107.18767562593746</v>
      </c>
    </row>
    <row r="33" spans="1:11" x14ac:dyDescent="0.25">
      <c r="A33" s="2"/>
      <c r="B33" s="2"/>
      <c r="C33" s="2"/>
      <c r="D33" s="2"/>
      <c r="E33" s="35">
        <v>0.31</v>
      </c>
      <c r="F33" s="53">
        <f t="shared" si="0"/>
        <v>1.9027500369441029E-2</v>
      </c>
      <c r="G33" s="53">
        <f t="shared" si="1"/>
        <v>2.8402178416102385E-2</v>
      </c>
      <c r="H33" s="53">
        <f t="shared" si="2"/>
        <v>2.6418828389456986E-2</v>
      </c>
      <c r="I33" s="35">
        <f t="shared" si="3"/>
        <v>107.90697495936149</v>
      </c>
      <c r="J33" s="35">
        <f t="shared" si="4"/>
        <v>106.87576037422873</v>
      </c>
      <c r="K33" s="35">
        <f t="shared" si="5"/>
        <v>107.09392887715973</v>
      </c>
    </row>
    <row r="34" spans="1:11" x14ac:dyDescent="0.25">
      <c r="A34" s="2"/>
      <c r="B34" s="2"/>
      <c r="C34" s="2"/>
      <c r="D34" s="2"/>
      <c r="E34" s="35">
        <v>0.32</v>
      </c>
      <c r="F34" s="53">
        <f t="shared" si="0"/>
        <v>1.9641371066057102E-2</v>
      </c>
      <c r="G34" s="53">
        <f t="shared" si="1"/>
        <v>2.9318384039256195E-2</v>
      </c>
      <c r="H34" s="53">
        <f t="shared" si="2"/>
        <v>2.7271073086835455E-2</v>
      </c>
      <c r="I34" s="35">
        <f t="shared" si="3"/>
        <v>107.83944918273372</v>
      </c>
      <c r="J34" s="35">
        <f t="shared" si="4"/>
        <v>106.77497775568182</v>
      </c>
      <c r="K34" s="35">
        <f t="shared" si="5"/>
        <v>107.0001819604481</v>
      </c>
    </row>
    <row r="35" spans="1:11" x14ac:dyDescent="0.25">
      <c r="A35" s="2"/>
      <c r="B35" s="2"/>
      <c r="C35" s="2"/>
      <c r="D35" s="2"/>
      <c r="E35" s="35">
        <v>0.33</v>
      </c>
      <c r="F35" s="53">
        <f t="shared" si="0"/>
        <v>2.0255246785305551E-2</v>
      </c>
      <c r="G35" s="53">
        <f t="shared" si="1"/>
        <v>3.0234590057373049E-2</v>
      </c>
      <c r="H35" s="53">
        <f t="shared" si="2"/>
        <v>2.8123319310885853E-2</v>
      </c>
      <c r="I35" s="35">
        <f t="shared" si="3"/>
        <v>107.77192285361639</v>
      </c>
      <c r="J35" s="35">
        <f t="shared" si="4"/>
        <v>106.67419509368897</v>
      </c>
      <c r="K35" s="35">
        <f t="shared" si="5"/>
        <v>106.90643487580256</v>
      </c>
    </row>
    <row r="36" spans="1:11" x14ac:dyDescent="0.25">
      <c r="A36" s="2"/>
      <c r="B36" s="2"/>
      <c r="C36" s="2"/>
      <c r="D36" s="2"/>
      <c r="E36" s="35">
        <v>0.34</v>
      </c>
      <c r="F36" s="53">
        <f t="shared" si="0"/>
        <v>2.0869127527186372E-2</v>
      </c>
      <c r="G36" s="53">
        <f t="shared" si="1"/>
        <v>3.1150796470452932E-2</v>
      </c>
      <c r="H36" s="53">
        <f t="shared" si="2"/>
        <v>2.8975567061608178E-2</v>
      </c>
      <c r="I36" s="35">
        <f t="shared" si="3"/>
        <v>107.70439597200949</v>
      </c>
      <c r="J36" s="35">
        <f t="shared" si="4"/>
        <v>106.57341238825018</v>
      </c>
      <c r="K36" s="35">
        <f t="shared" si="5"/>
        <v>106.8126876232231</v>
      </c>
    </row>
    <row r="37" spans="1:11" x14ac:dyDescent="0.25">
      <c r="A37" s="2"/>
      <c r="B37" s="2"/>
      <c r="C37" s="2"/>
      <c r="D37" s="2"/>
      <c r="E37" s="35">
        <v>0.35</v>
      </c>
      <c r="F37" s="53">
        <f t="shared" si="0"/>
        <v>2.1483013291699566E-2</v>
      </c>
      <c r="G37" s="53">
        <f t="shared" si="1"/>
        <v>3.2067003278495848E-2</v>
      </c>
      <c r="H37" s="53">
        <f t="shared" si="2"/>
        <v>2.9827816339002423E-2</v>
      </c>
      <c r="I37" s="35">
        <f t="shared" si="3"/>
        <v>107.63686853791305</v>
      </c>
      <c r="J37" s="35">
        <f t="shared" si="4"/>
        <v>106.47262963936545</v>
      </c>
      <c r="K37" s="35">
        <f t="shared" si="5"/>
        <v>106.71894020270973</v>
      </c>
    </row>
    <row r="38" spans="1:11" x14ac:dyDescent="0.25">
      <c r="A38" s="2"/>
      <c r="B38" s="2"/>
      <c r="C38" s="2"/>
      <c r="D38" s="2"/>
      <c r="E38" s="35">
        <v>0.36</v>
      </c>
      <c r="F38" s="53">
        <f t="shared" si="0"/>
        <v>2.2096904078845136E-2</v>
      </c>
      <c r="G38" s="53">
        <f t="shared" si="1"/>
        <v>3.298321048150181E-2</v>
      </c>
      <c r="H38" s="53">
        <f t="shared" si="2"/>
        <v>3.0680067143068597E-2</v>
      </c>
      <c r="I38" s="35">
        <f t="shared" si="3"/>
        <v>107.56934055132703</v>
      </c>
      <c r="J38" s="35">
        <f t="shared" si="4"/>
        <v>106.3718468470348</v>
      </c>
      <c r="K38" s="35">
        <f t="shared" si="5"/>
        <v>106.62519261426246</v>
      </c>
    </row>
    <row r="39" spans="1:11" x14ac:dyDescent="0.25">
      <c r="A39" s="2"/>
      <c r="B39" s="2"/>
      <c r="C39" s="2"/>
      <c r="D39" s="2"/>
      <c r="E39" s="35">
        <v>0.37</v>
      </c>
      <c r="F39" s="53">
        <f t="shared" si="0"/>
        <v>2.2710799888623078E-2</v>
      </c>
      <c r="G39" s="53">
        <f t="shared" si="1"/>
        <v>3.3899418079470799E-2</v>
      </c>
      <c r="H39" s="53">
        <f t="shared" si="2"/>
        <v>3.1532319473806698E-2</v>
      </c>
      <c r="I39" s="35">
        <f t="shared" si="3"/>
        <v>107.50181201225146</v>
      </c>
      <c r="J39" s="35">
        <f t="shared" si="4"/>
        <v>106.27106401125822</v>
      </c>
      <c r="K39" s="35">
        <f t="shared" si="5"/>
        <v>106.53144485788127</v>
      </c>
    </row>
    <row r="40" spans="1:11" x14ac:dyDescent="0.25">
      <c r="A40" s="2"/>
      <c r="B40" s="2"/>
      <c r="C40" s="2"/>
      <c r="D40" s="2"/>
      <c r="E40" s="35">
        <v>0.38</v>
      </c>
      <c r="F40" s="53">
        <f t="shared" si="0"/>
        <v>2.3324700721033393E-2</v>
      </c>
      <c r="G40" s="53">
        <f t="shared" si="1"/>
        <v>3.4815626072402829E-2</v>
      </c>
      <c r="H40" s="53">
        <f t="shared" si="2"/>
        <v>3.2384573331216734E-2</v>
      </c>
      <c r="I40" s="35">
        <f t="shared" si="3"/>
        <v>107.43428292068633</v>
      </c>
      <c r="J40" s="35">
        <f t="shared" si="4"/>
        <v>106.17028113203568</v>
      </c>
      <c r="K40" s="35">
        <f t="shared" si="5"/>
        <v>106.43769693356616</v>
      </c>
    </row>
    <row r="41" spans="1:11" x14ac:dyDescent="0.25">
      <c r="A41" s="2"/>
      <c r="B41" s="2"/>
      <c r="C41" s="2"/>
      <c r="D41" s="2"/>
      <c r="E41" s="35">
        <v>0.39</v>
      </c>
      <c r="F41" s="53">
        <f t="shared" si="0"/>
        <v>2.3938606576076084E-2</v>
      </c>
      <c r="G41" s="53">
        <f t="shared" si="1"/>
        <v>3.5731834460297887E-2</v>
      </c>
      <c r="H41" s="53">
        <f t="shared" si="2"/>
        <v>3.3236828715298684E-2</v>
      </c>
      <c r="I41" s="35">
        <f t="shared" si="3"/>
        <v>107.36675327663163</v>
      </c>
      <c r="J41" s="35">
        <f t="shared" si="4"/>
        <v>106.06949820936723</v>
      </c>
      <c r="K41" s="35">
        <f t="shared" si="5"/>
        <v>106.34394884131714</v>
      </c>
    </row>
    <row r="42" spans="1:11" x14ac:dyDescent="0.25">
      <c r="A42" s="2"/>
      <c r="B42" s="2"/>
      <c r="C42" s="2"/>
      <c r="D42" s="2"/>
      <c r="E42" s="35">
        <v>0.4</v>
      </c>
      <c r="F42" s="53">
        <f t="shared" si="0"/>
        <v>2.4552517453751147E-2</v>
      </c>
      <c r="G42" s="53">
        <f t="shared" si="1"/>
        <v>3.6648043243155987E-2</v>
      </c>
      <c r="H42" s="53">
        <f t="shared" si="2"/>
        <v>3.4089085626052569E-2</v>
      </c>
      <c r="I42" s="35">
        <f t="shared" si="3"/>
        <v>107.29922308008737</v>
      </c>
      <c r="J42" s="35">
        <f t="shared" si="4"/>
        <v>105.96871524325284</v>
      </c>
      <c r="K42" s="35">
        <f t="shared" si="5"/>
        <v>106.25020058113422</v>
      </c>
    </row>
    <row r="43" spans="1:11" x14ac:dyDescent="0.25">
      <c r="A43" s="2"/>
      <c r="B43" s="2"/>
      <c r="C43" s="2"/>
      <c r="D43" s="2"/>
      <c r="E43" s="35">
        <v>0.41</v>
      </c>
      <c r="F43" s="53">
        <f t="shared" si="0"/>
        <v>2.5166433354058583E-2</v>
      </c>
      <c r="G43" s="53">
        <f t="shared" si="1"/>
        <v>3.7564252420977121E-2</v>
      </c>
      <c r="H43" s="53">
        <f t="shared" si="2"/>
        <v>3.4941344063478375E-2</v>
      </c>
      <c r="I43" s="35">
        <f t="shared" si="3"/>
        <v>107.23169233105355</v>
      </c>
      <c r="J43" s="35">
        <f t="shared" si="4"/>
        <v>105.86793223369251</v>
      </c>
      <c r="K43" s="35">
        <f t="shared" si="5"/>
        <v>106.15645215301738</v>
      </c>
    </row>
    <row r="44" spans="1:11" x14ac:dyDescent="0.25">
      <c r="A44" s="2"/>
      <c r="B44" s="2"/>
      <c r="C44" s="2"/>
      <c r="D44" s="2"/>
      <c r="E44" s="35">
        <v>0.42</v>
      </c>
      <c r="F44" s="53">
        <f t="shared" si="0"/>
        <v>2.5780354276998391E-2</v>
      </c>
      <c r="G44" s="53">
        <f t="shared" si="1"/>
        <v>3.8480461993761296E-2</v>
      </c>
      <c r="H44" s="53">
        <f t="shared" si="2"/>
        <v>3.5793604027576115E-2</v>
      </c>
      <c r="I44" s="35">
        <f t="shared" si="3"/>
        <v>107.16416102953018</v>
      </c>
      <c r="J44" s="35">
        <f t="shared" si="4"/>
        <v>105.76714918068626</v>
      </c>
      <c r="K44" s="35">
        <f t="shared" si="5"/>
        <v>106.06270355696662</v>
      </c>
    </row>
    <row r="45" spans="1:11" x14ac:dyDescent="0.25">
      <c r="A45" s="2"/>
      <c r="B45" s="2"/>
      <c r="C45" s="2"/>
      <c r="D45" s="2"/>
      <c r="E45" s="35">
        <v>0.43</v>
      </c>
      <c r="F45" s="53">
        <f t="shared" si="0"/>
        <v>2.6394280222570576E-2</v>
      </c>
      <c r="G45" s="53">
        <f t="shared" si="1"/>
        <v>3.9396671961508499E-2</v>
      </c>
      <c r="H45" s="53">
        <f t="shared" si="2"/>
        <v>3.6645865518345769E-2</v>
      </c>
      <c r="I45" s="35">
        <f t="shared" si="3"/>
        <v>107.09662917551724</v>
      </c>
      <c r="J45" s="35">
        <f t="shared" si="4"/>
        <v>105.66636608423407</v>
      </c>
      <c r="K45" s="35">
        <f t="shared" si="5"/>
        <v>105.96895479298196</v>
      </c>
    </row>
    <row r="46" spans="1:11" x14ac:dyDescent="0.25">
      <c r="A46" s="2"/>
      <c r="B46" s="2"/>
      <c r="C46" s="2"/>
      <c r="D46" s="2"/>
      <c r="E46" s="35">
        <v>0.44</v>
      </c>
      <c r="F46" s="53">
        <f t="shared" si="0"/>
        <v>2.7008211190775133E-2</v>
      </c>
      <c r="G46" s="53">
        <f t="shared" si="1"/>
        <v>4.031288232421875E-2</v>
      </c>
      <c r="H46" s="53">
        <f t="shared" si="2"/>
        <v>3.7498128535787364E-2</v>
      </c>
      <c r="I46" s="35">
        <f t="shared" si="3"/>
        <v>107.02909676901473</v>
      </c>
      <c r="J46" s="35">
        <f t="shared" si="4"/>
        <v>105.56558294433594</v>
      </c>
      <c r="K46" s="35">
        <f t="shared" si="5"/>
        <v>105.87520586106339</v>
      </c>
    </row>
    <row r="47" spans="1:11" x14ac:dyDescent="0.25">
      <c r="A47" s="2"/>
      <c r="B47" s="2"/>
      <c r="C47" s="2"/>
      <c r="D47" s="2"/>
      <c r="E47" s="35">
        <v>0.45</v>
      </c>
      <c r="F47" s="53">
        <f t="shared" si="0"/>
        <v>2.7622147181612065E-2</v>
      </c>
      <c r="G47" s="53">
        <f t="shared" si="1"/>
        <v>4.1229093081892029E-2</v>
      </c>
      <c r="H47" s="53">
        <f t="shared" si="2"/>
        <v>3.8350393079900881E-2</v>
      </c>
      <c r="I47" s="35">
        <f t="shared" si="3"/>
        <v>106.96156381002267</v>
      </c>
      <c r="J47" s="35">
        <f t="shared" si="4"/>
        <v>105.46479976099188</v>
      </c>
      <c r="K47" s="35">
        <f t="shared" si="5"/>
        <v>105.7814567612109</v>
      </c>
    </row>
    <row r="48" spans="1:11" x14ac:dyDescent="0.25">
      <c r="A48" s="2"/>
      <c r="B48" s="2"/>
      <c r="C48" s="2"/>
      <c r="D48" s="2"/>
      <c r="E48" s="35">
        <v>0.46</v>
      </c>
      <c r="F48" s="53">
        <f t="shared" si="0"/>
        <v>2.8236088195081367E-2</v>
      </c>
      <c r="G48" s="53">
        <f t="shared" si="1"/>
        <v>4.2145304234528343E-2</v>
      </c>
      <c r="H48" s="53">
        <f t="shared" si="2"/>
        <v>3.9202659150686318E-2</v>
      </c>
      <c r="I48" s="35">
        <f t="shared" si="3"/>
        <v>106.89403029854105</v>
      </c>
      <c r="J48" s="35">
        <f t="shared" si="4"/>
        <v>105.36401653420188</v>
      </c>
      <c r="K48" s="35">
        <f t="shared" si="5"/>
        <v>105.68770749342451</v>
      </c>
    </row>
    <row r="49" spans="1:11" x14ac:dyDescent="0.25">
      <c r="A49" s="2"/>
      <c r="B49" s="2"/>
      <c r="C49" s="2"/>
      <c r="D49" s="2"/>
      <c r="E49" s="35">
        <v>0.47</v>
      </c>
      <c r="F49" s="53">
        <f t="shared" si="0"/>
        <v>2.8850034231183045E-2</v>
      </c>
      <c r="G49" s="53">
        <f t="shared" si="1"/>
        <v>4.3061515782127691E-2</v>
      </c>
      <c r="H49" s="53">
        <f t="shared" si="2"/>
        <v>4.0054926748143684E-2</v>
      </c>
      <c r="I49" s="35">
        <f t="shared" si="3"/>
        <v>106.82649623456986</v>
      </c>
      <c r="J49" s="35">
        <f t="shared" si="4"/>
        <v>105.26323326396596</v>
      </c>
      <c r="K49" s="35">
        <f t="shared" si="5"/>
        <v>105.5939580577042</v>
      </c>
    </row>
    <row r="50" spans="1:11" x14ac:dyDescent="0.25">
      <c r="A50" s="2"/>
      <c r="B50" s="2"/>
      <c r="C50" s="2"/>
      <c r="D50" s="2"/>
      <c r="E50" s="35">
        <v>0.48</v>
      </c>
      <c r="F50" s="53">
        <f t="shared" si="0"/>
        <v>2.9463985289917099E-2</v>
      </c>
      <c r="G50" s="53">
        <f t="shared" si="1"/>
        <v>4.397772772469008E-2</v>
      </c>
      <c r="H50" s="53">
        <f t="shared" si="2"/>
        <v>4.0907195872272976E-2</v>
      </c>
      <c r="I50" s="35">
        <f t="shared" si="3"/>
        <v>106.75896161810913</v>
      </c>
      <c r="J50" s="35">
        <f t="shared" si="4"/>
        <v>105.16244995028408</v>
      </c>
      <c r="K50" s="35">
        <f t="shared" si="5"/>
        <v>105.50020845404997</v>
      </c>
    </row>
    <row r="51" spans="1:11" x14ac:dyDescent="0.25">
      <c r="A51" s="2"/>
      <c r="B51" s="2"/>
      <c r="C51" s="2"/>
      <c r="D51" s="2"/>
      <c r="E51" s="35">
        <v>0.49</v>
      </c>
      <c r="F51" s="53">
        <f t="shared" si="0"/>
        <v>3.0077941371283522E-2</v>
      </c>
      <c r="G51" s="53">
        <f t="shared" si="1"/>
        <v>4.4893940062215504E-2</v>
      </c>
      <c r="H51" s="53">
        <f t="shared" si="2"/>
        <v>4.1759466523074197E-2</v>
      </c>
      <c r="I51" s="35">
        <f t="shared" si="3"/>
        <v>106.69142644915881</v>
      </c>
      <c r="J51" s="35">
        <f t="shared" si="4"/>
        <v>105.06166659315629</v>
      </c>
      <c r="K51" s="35">
        <f t="shared" si="5"/>
        <v>105.40645868246183</v>
      </c>
    </row>
    <row r="52" spans="1:11" x14ac:dyDescent="0.25">
      <c r="A52" s="2"/>
      <c r="B52" s="2"/>
      <c r="C52" s="2"/>
      <c r="D52" s="2"/>
      <c r="E52" s="35">
        <v>0.5</v>
      </c>
      <c r="F52" s="53">
        <f t="shared" si="0"/>
        <v>3.0691902475282321E-2</v>
      </c>
      <c r="G52" s="53">
        <f t="shared" si="1"/>
        <v>4.5810152794703962E-2</v>
      </c>
      <c r="H52" s="53">
        <f t="shared" si="2"/>
        <v>4.2611738700547346E-2</v>
      </c>
      <c r="I52" s="35">
        <f t="shared" si="3"/>
        <v>106.62389072771894</v>
      </c>
      <c r="J52" s="35">
        <f t="shared" si="4"/>
        <v>104.96088319258257</v>
      </c>
      <c r="K52" s="35">
        <f t="shared" si="5"/>
        <v>105.31270874293979</v>
      </c>
    </row>
    <row r="53" spans="1:11" x14ac:dyDescent="0.25">
      <c r="A53" s="2"/>
      <c r="B53" s="2"/>
      <c r="C53" s="2"/>
      <c r="D53" s="2"/>
      <c r="E53" s="35">
        <v>0.51</v>
      </c>
      <c r="F53" s="53">
        <f t="shared" si="0"/>
        <v>3.1305868601913492E-2</v>
      </c>
      <c r="G53" s="53">
        <f t="shared" si="1"/>
        <v>4.6726365922155455E-2</v>
      </c>
      <c r="H53" s="53">
        <f t="shared" si="2"/>
        <v>4.3464012404692422E-2</v>
      </c>
      <c r="I53" s="35">
        <f t="shared" si="3"/>
        <v>106.55635445378951</v>
      </c>
      <c r="J53" s="35">
        <f t="shared" si="4"/>
        <v>104.8600997485629</v>
      </c>
      <c r="K53" s="35">
        <f t="shared" si="5"/>
        <v>105.21895863548383</v>
      </c>
    </row>
    <row r="54" spans="1:11" x14ac:dyDescent="0.25">
      <c r="A54" s="2"/>
      <c r="B54" s="2"/>
      <c r="C54" s="2"/>
      <c r="D54" s="2"/>
      <c r="E54" s="35">
        <v>0.52</v>
      </c>
      <c r="F54" s="53">
        <f t="shared" si="0"/>
        <v>3.1919839751177036E-2</v>
      </c>
      <c r="G54" s="53">
        <f t="shared" si="1"/>
        <v>4.7642579444569989E-2</v>
      </c>
      <c r="H54" s="53">
        <f t="shared" si="2"/>
        <v>4.4316287635509419E-2</v>
      </c>
      <c r="I54" s="35">
        <f t="shared" si="3"/>
        <v>106.48881762737052</v>
      </c>
      <c r="J54" s="35">
        <f t="shared" si="4"/>
        <v>104.7593162610973</v>
      </c>
      <c r="K54" s="35">
        <f t="shared" si="5"/>
        <v>105.12520836009396</v>
      </c>
    </row>
    <row r="55" spans="1:11" x14ac:dyDescent="0.25">
      <c r="A55" s="2"/>
      <c r="B55" s="2"/>
      <c r="C55" s="2"/>
      <c r="D55" s="2"/>
      <c r="E55" s="35">
        <v>0.53</v>
      </c>
      <c r="F55" s="53">
        <f t="shared" si="0"/>
        <v>3.2533815923072959E-2</v>
      </c>
      <c r="G55" s="53">
        <f t="shared" si="1"/>
        <v>4.8558793361947558E-2</v>
      </c>
      <c r="H55" s="53">
        <f t="shared" si="2"/>
        <v>4.516856439299835E-2</v>
      </c>
      <c r="I55" s="35">
        <f t="shared" si="3"/>
        <v>106.42128024846197</v>
      </c>
      <c r="J55" s="35">
        <f t="shared" si="4"/>
        <v>104.65853273018577</v>
      </c>
      <c r="K55" s="35">
        <f t="shared" si="5"/>
        <v>105.03145791677018</v>
      </c>
    </row>
    <row r="56" spans="1:11" x14ac:dyDescent="0.25">
      <c r="A56" s="2"/>
      <c r="B56" s="2"/>
      <c r="C56" s="2"/>
      <c r="D56" s="2"/>
      <c r="E56" s="35">
        <v>0.54</v>
      </c>
      <c r="F56" s="53">
        <f t="shared" si="0"/>
        <v>3.3147797117601248E-2</v>
      </c>
      <c r="G56" s="53">
        <f t="shared" si="1"/>
        <v>4.9475007674288161E-2</v>
      </c>
      <c r="H56" s="53">
        <f t="shared" si="2"/>
        <v>4.602084267715921E-2</v>
      </c>
      <c r="I56" s="35">
        <f t="shared" si="3"/>
        <v>106.35374231706386</v>
      </c>
      <c r="J56" s="35">
        <f t="shared" si="4"/>
        <v>104.5577491558283</v>
      </c>
      <c r="K56" s="35">
        <f t="shared" si="5"/>
        <v>104.93770730551249</v>
      </c>
    </row>
    <row r="57" spans="1:11" x14ac:dyDescent="0.25">
      <c r="A57" s="2"/>
      <c r="B57" s="2"/>
      <c r="C57" s="2"/>
      <c r="D57" s="2"/>
      <c r="E57" s="35">
        <v>0.55000000000000004</v>
      </c>
      <c r="F57" s="53">
        <f t="shared" si="0"/>
        <v>3.3761783334761916E-2</v>
      </c>
      <c r="G57" s="53">
        <f t="shared" si="1"/>
        <v>5.0391222381591799E-2</v>
      </c>
      <c r="H57" s="53">
        <f t="shared" si="2"/>
        <v>4.6873122487991983E-2</v>
      </c>
      <c r="I57" s="35">
        <f t="shared" si="3"/>
        <v>106.28620383317619</v>
      </c>
      <c r="J57" s="35">
        <f t="shared" si="4"/>
        <v>104.4569655380249</v>
      </c>
      <c r="K57" s="35">
        <f t="shared" si="5"/>
        <v>104.84395652632088</v>
      </c>
    </row>
    <row r="58" spans="1:11" x14ac:dyDescent="0.25">
      <c r="A58" s="2"/>
      <c r="B58" s="2"/>
      <c r="C58" s="2"/>
      <c r="D58" s="2"/>
      <c r="E58" s="35">
        <v>0.56000000000000005</v>
      </c>
      <c r="F58" s="53">
        <f t="shared" si="0"/>
        <v>3.4375774574554957E-2</v>
      </c>
      <c r="G58" s="53">
        <f t="shared" si="1"/>
        <v>5.1307437483858472E-2</v>
      </c>
      <c r="H58" s="53">
        <f t="shared" si="2"/>
        <v>4.7725403825496691E-2</v>
      </c>
      <c r="I58" s="35">
        <f t="shared" si="3"/>
        <v>106.21866479679896</v>
      </c>
      <c r="J58" s="35">
        <f t="shared" si="4"/>
        <v>104.35618187677557</v>
      </c>
      <c r="K58" s="35">
        <f t="shared" si="5"/>
        <v>104.75020557919537</v>
      </c>
    </row>
    <row r="59" spans="1:11" x14ac:dyDescent="0.25">
      <c r="A59" s="2"/>
      <c r="B59" s="2"/>
      <c r="C59" s="2"/>
      <c r="D59" s="2"/>
      <c r="E59" s="35">
        <v>0.56999999999999995</v>
      </c>
      <c r="F59" s="53">
        <f t="shared" si="0"/>
        <v>3.498977083698037E-2</v>
      </c>
      <c r="G59" s="53">
        <f t="shared" si="1"/>
        <v>5.2223652981088171E-2</v>
      </c>
      <c r="H59" s="53">
        <f t="shared" si="2"/>
        <v>4.857768668967332E-2</v>
      </c>
      <c r="I59" s="35">
        <f t="shared" si="3"/>
        <v>106.15112520793215</v>
      </c>
      <c r="J59" s="35">
        <f t="shared" si="4"/>
        <v>104.25539817208031</v>
      </c>
      <c r="K59" s="35">
        <f t="shared" si="5"/>
        <v>104.65645446413593</v>
      </c>
    </row>
    <row r="60" spans="1:11" x14ac:dyDescent="0.25">
      <c r="A60" s="2"/>
      <c r="B60" s="2"/>
      <c r="C60" s="2"/>
      <c r="D60" s="2"/>
      <c r="E60" s="35">
        <v>0.57999999999999996</v>
      </c>
      <c r="F60" s="53">
        <f t="shared" si="0"/>
        <v>3.5603772122038156E-2</v>
      </c>
      <c r="G60" s="53">
        <f t="shared" si="1"/>
        <v>5.313986887328092E-2</v>
      </c>
      <c r="H60" s="53">
        <f t="shared" si="2"/>
        <v>4.9429971080521884E-2</v>
      </c>
      <c r="I60" s="35">
        <f t="shared" si="3"/>
        <v>106.08358506657581</v>
      </c>
      <c r="J60" s="35">
        <f t="shared" si="4"/>
        <v>104.15461442393909</v>
      </c>
      <c r="K60" s="35">
        <f t="shared" si="5"/>
        <v>104.5627031811426</v>
      </c>
    </row>
    <row r="61" spans="1:11" x14ac:dyDescent="0.25">
      <c r="A61" s="2"/>
      <c r="B61" s="2"/>
      <c r="C61" s="2"/>
      <c r="D61" s="2"/>
      <c r="E61" s="35">
        <v>0.59</v>
      </c>
      <c r="F61" s="53">
        <f t="shared" si="0"/>
        <v>3.6217778429728315E-2</v>
      </c>
      <c r="G61" s="53">
        <f t="shared" si="1"/>
        <v>5.4056085160436702E-2</v>
      </c>
      <c r="H61" s="53">
        <f t="shared" si="2"/>
        <v>5.0282256998042361E-2</v>
      </c>
      <c r="I61" s="35">
        <f t="shared" si="3"/>
        <v>106.01604437272988</v>
      </c>
      <c r="J61" s="35">
        <f t="shared" si="4"/>
        <v>104.05383063235196</v>
      </c>
      <c r="K61" s="35">
        <f t="shared" si="5"/>
        <v>104.46895173021534</v>
      </c>
    </row>
    <row r="62" spans="1:11" x14ac:dyDescent="0.25">
      <c r="A62" s="2"/>
      <c r="B62" s="2"/>
      <c r="C62" s="2"/>
      <c r="D62" s="2"/>
      <c r="E62" s="35">
        <v>0.6</v>
      </c>
      <c r="F62" s="53">
        <f t="shared" si="0"/>
        <v>3.6831789760050852E-2</v>
      </c>
      <c r="G62" s="53">
        <f t="shared" si="1"/>
        <v>5.4972301842555527E-2</v>
      </c>
      <c r="H62" s="53">
        <f t="shared" si="2"/>
        <v>5.1134544442234781E-2</v>
      </c>
      <c r="I62" s="35">
        <f t="shared" si="3"/>
        <v>105.9485031263944</v>
      </c>
      <c r="J62" s="35">
        <f t="shared" si="4"/>
        <v>103.95304679731889</v>
      </c>
      <c r="K62" s="35">
        <f t="shared" si="5"/>
        <v>104.37520011135418</v>
      </c>
    </row>
    <row r="63" spans="1:11" x14ac:dyDescent="0.25">
      <c r="A63" s="2"/>
      <c r="B63" s="2"/>
      <c r="C63" s="2"/>
      <c r="D63" s="2"/>
      <c r="E63" s="35">
        <v>0.61</v>
      </c>
      <c r="F63" s="53">
        <f t="shared" si="0"/>
        <v>3.7445806113005756E-2</v>
      </c>
      <c r="G63" s="53">
        <f t="shared" si="1"/>
        <v>5.5888518919637378E-2</v>
      </c>
      <c r="H63" s="53">
        <f t="shared" si="2"/>
        <v>5.1986833413099121E-2</v>
      </c>
      <c r="I63" s="35">
        <f t="shared" si="3"/>
        <v>105.88096132756937</v>
      </c>
      <c r="J63" s="35">
        <f t="shared" si="4"/>
        <v>103.85226291883988</v>
      </c>
      <c r="K63" s="35">
        <f t="shared" si="5"/>
        <v>104.28144832455909</v>
      </c>
    </row>
    <row r="64" spans="1:11" x14ac:dyDescent="0.25">
      <c r="A64" s="2"/>
      <c r="B64" s="2"/>
      <c r="C64" s="2"/>
      <c r="D64" s="2"/>
      <c r="E64" s="35">
        <v>0.62</v>
      </c>
      <c r="F64" s="53">
        <f t="shared" si="0"/>
        <v>3.8059827488593038E-2</v>
      </c>
      <c r="G64" s="53">
        <f t="shared" si="1"/>
        <v>5.6804736391682265E-2</v>
      </c>
      <c r="H64" s="53">
        <f t="shared" si="2"/>
        <v>5.2839123910635381E-2</v>
      </c>
      <c r="I64" s="35">
        <f t="shared" si="3"/>
        <v>105.81341897625477</v>
      </c>
      <c r="J64" s="35">
        <f t="shared" si="4"/>
        <v>103.75147899691495</v>
      </c>
      <c r="K64" s="35">
        <f t="shared" si="5"/>
        <v>104.18769636983011</v>
      </c>
    </row>
    <row r="65" spans="1:11" x14ac:dyDescent="0.25">
      <c r="A65" s="2"/>
      <c r="B65" s="2"/>
      <c r="C65" s="2"/>
      <c r="D65" s="2"/>
      <c r="E65" s="35">
        <v>0.63</v>
      </c>
      <c r="F65" s="53">
        <f t="shared" si="0"/>
        <v>3.8673853886812694E-2</v>
      </c>
      <c r="G65" s="53">
        <f t="shared" si="1"/>
        <v>5.7720954258690192E-2</v>
      </c>
      <c r="H65" s="53">
        <f t="shared" si="2"/>
        <v>5.3691415934843584E-2</v>
      </c>
      <c r="I65" s="35">
        <f t="shared" si="3"/>
        <v>105.7458760724506</v>
      </c>
      <c r="J65" s="35">
        <f t="shared" si="4"/>
        <v>103.65069503154407</v>
      </c>
      <c r="K65" s="35">
        <f t="shared" si="5"/>
        <v>104.0939442471672</v>
      </c>
    </row>
    <row r="66" spans="1:11" x14ac:dyDescent="0.25">
      <c r="A66" s="2"/>
      <c r="B66" s="2"/>
      <c r="C66" s="2"/>
      <c r="D66" s="2"/>
      <c r="E66" s="35">
        <v>0.64</v>
      </c>
      <c r="F66" s="53">
        <f t="shared" si="0"/>
        <v>3.9287885307664722E-2</v>
      </c>
      <c r="G66" s="53">
        <f t="shared" si="1"/>
        <v>5.8637172520661154E-2</v>
      </c>
      <c r="H66" s="53">
        <f t="shared" si="2"/>
        <v>5.4543709485723693E-2</v>
      </c>
      <c r="I66" s="35">
        <f t="shared" si="3"/>
        <v>105.67833261615688</v>
      </c>
      <c r="J66" s="35">
        <f t="shared" si="4"/>
        <v>103.54991102272727</v>
      </c>
      <c r="K66" s="35">
        <f t="shared" si="5"/>
        <v>104.00019195657039</v>
      </c>
    </row>
    <row r="67" spans="1:11" x14ac:dyDescent="0.25">
      <c r="A67" s="2"/>
      <c r="B67" s="2"/>
      <c r="C67" s="2"/>
      <c r="D67" s="2"/>
      <c r="E67" s="35">
        <v>0.65</v>
      </c>
      <c r="F67" s="53">
        <f t="shared" ref="F67:F102" si="6">E67*$B$7+(E67^2*$B$8^2)/200</f>
        <v>3.9901921751149122E-2</v>
      </c>
      <c r="G67" s="53">
        <f t="shared" ref="G67:G102" si="7">E67*$B$12+(E67^2*$B$13^2)/200</f>
        <v>5.9553391177595151E-2</v>
      </c>
      <c r="H67" s="53">
        <f t="shared" ref="H67:H102" si="8">E67*$B$17+(E67^2*$B$18^2)/200</f>
        <v>5.5396004563275744E-2</v>
      </c>
      <c r="I67" s="35">
        <f t="shared" ref="I67:I102" si="9">$B$20-F67*$B$20</f>
        <v>105.61078860737359</v>
      </c>
      <c r="J67" s="35">
        <f t="shared" ref="J67:J102" si="10">$B$20-G67*$B$20</f>
        <v>103.44912697046453</v>
      </c>
      <c r="K67" s="35">
        <f t="shared" ref="K67:K102" si="11">$B$20-H67*$B$20</f>
        <v>103.90643949803967</v>
      </c>
    </row>
    <row r="68" spans="1:11" x14ac:dyDescent="0.25">
      <c r="A68" s="2"/>
      <c r="B68" s="2"/>
      <c r="C68" s="2"/>
      <c r="D68" s="2"/>
      <c r="E68" s="35">
        <v>0.66</v>
      </c>
      <c r="F68" s="53">
        <f t="shared" si="6"/>
        <v>4.0515963217265902E-2</v>
      </c>
      <c r="G68" s="53">
        <f t="shared" si="7"/>
        <v>6.0469610229492189E-2</v>
      </c>
      <c r="H68" s="53">
        <f t="shared" si="8"/>
        <v>5.6248301167499723E-2</v>
      </c>
      <c r="I68" s="35">
        <f t="shared" si="9"/>
        <v>105.54324404610075</v>
      </c>
      <c r="J68" s="35">
        <f t="shared" si="10"/>
        <v>103.34834287475586</v>
      </c>
      <c r="K68" s="35">
        <f t="shared" si="11"/>
        <v>103.81268687157502</v>
      </c>
    </row>
    <row r="69" spans="1:11" x14ac:dyDescent="0.25">
      <c r="A69" s="2"/>
      <c r="B69" s="2"/>
      <c r="C69" s="2"/>
      <c r="D69" s="2"/>
      <c r="E69" s="35">
        <v>0.67</v>
      </c>
      <c r="F69" s="53">
        <f t="shared" si="6"/>
        <v>4.1130009706015047E-2</v>
      </c>
      <c r="G69" s="53">
        <f t="shared" si="7"/>
        <v>6.1385829676352255E-2</v>
      </c>
      <c r="H69" s="53">
        <f t="shared" si="8"/>
        <v>5.7100599298395616E-2</v>
      </c>
      <c r="I69" s="35">
        <f t="shared" si="9"/>
        <v>105.47569893233835</v>
      </c>
      <c r="J69" s="35">
        <f t="shared" si="10"/>
        <v>103.24755873560125</v>
      </c>
      <c r="K69" s="35">
        <f t="shared" si="11"/>
        <v>103.71893407717648</v>
      </c>
    </row>
    <row r="70" spans="1:11" x14ac:dyDescent="0.25">
      <c r="A70" s="2"/>
      <c r="B70" s="2"/>
      <c r="C70" s="2"/>
      <c r="D70" s="2"/>
      <c r="E70" s="35">
        <v>0.68</v>
      </c>
      <c r="F70" s="53">
        <f t="shared" si="6"/>
        <v>4.1744061217396572E-2</v>
      </c>
      <c r="G70" s="53">
        <f t="shared" si="7"/>
        <v>6.2302049518175362E-2</v>
      </c>
      <c r="H70" s="53">
        <f t="shared" si="8"/>
        <v>5.7952898955963443E-2</v>
      </c>
      <c r="I70" s="35">
        <f t="shared" si="9"/>
        <v>105.40815326608637</v>
      </c>
      <c r="J70" s="35">
        <f t="shared" si="10"/>
        <v>103.14677455300071</v>
      </c>
      <c r="K70" s="35">
        <f t="shared" si="11"/>
        <v>103.62518111484403</v>
      </c>
    </row>
    <row r="71" spans="1:11" x14ac:dyDescent="0.25">
      <c r="A71" s="2"/>
      <c r="B71" s="2"/>
      <c r="C71" s="2"/>
      <c r="D71" s="2"/>
      <c r="E71" s="35">
        <v>0.69</v>
      </c>
      <c r="F71" s="53">
        <f t="shared" si="6"/>
        <v>4.2358117751410469E-2</v>
      </c>
      <c r="G71" s="53">
        <f t="shared" si="7"/>
        <v>6.321826975496149E-2</v>
      </c>
      <c r="H71" s="53">
        <f t="shared" si="8"/>
        <v>5.8805200140203184E-2</v>
      </c>
      <c r="I71" s="35">
        <f t="shared" si="9"/>
        <v>105.34060704734485</v>
      </c>
      <c r="J71" s="35">
        <f t="shared" si="10"/>
        <v>103.04599032695424</v>
      </c>
      <c r="K71" s="35">
        <f t="shared" si="11"/>
        <v>103.53142798457765</v>
      </c>
    </row>
    <row r="72" spans="1:11" x14ac:dyDescent="0.25">
      <c r="A72" s="2"/>
      <c r="B72" s="2"/>
      <c r="C72" s="2"/>
      <c r="D72" s="2"/>
      <c r="E72" s="35">
        <v>0.7</v>
      </c>
      <c r="F72" s="53">
        <f t="shared" si="6"/>
        <v>4.2972179308056739E-2</v>
      </c>
      <c r="G72" s="53">
        <f t="shared" si="7"/>
        <v>6.413449038671068E-2</v>
      </c>
      <c r="H72" s="53">
        <f t="shared" si="8"/>
        <v>5.9657502851114867E-2</v>
      </c>
      <c r="I72" s="35">
        <f t="shared" si="9"/>
        <v>105.27306027611375</v>
      </c>
      <c r="J72" s="35">
        <f t="shared" si="10"/>
        <v>102.94520605746183</v>
      </c>
      <c r="K72" s="35">
        <f t="shared" si="11"/>
        <v>103.43767468637736</v>
      </c>
    </row>
    <row r="73" spans="1:11" x14ac:dyDescent="0.25">
      <c r="A73" s="2"/>
      <c r="B73" s="2"/>
      <c r="C73" s="2"/>
      <c r="D73" s="2"/>
      <c r="E73" s="35">
        <v>0.71</v>
      </c>
      <c r="F73" s="53">
        <f t="shared" si="6"/>
        <v>4.3586245887335381E-2</v>
      </c>
      <c r="G73" s="53">
        <f t="shared" si="7"/>
        <v>6.505071141342289E-2</v>
      </c>
      <c r="H73" s="53">
        <f t="shared" si="8"/>
        <v>6.0509807088698471E-2</v>
      </c>
      <c r="I73" s="35">
        <f t="shared" si="9"/>
        <v>105.20551295239311</v>
      </c>
      <c r="J73" s="35">
        <f t="shared" si="10"/>
        <v>102.84442174452349</v>
      </c>
      <c r="K73" s="35">
        <f t="shared" si="11"/>
        <v>103.34392122024317</v>
      </c>
    </row>
    <row r="74" spans="1:11" x14ac:dyDescent="0.25">
      <c r="A74" s="2"/>
      <c r="B74" s="2"/>
      <c r="C74" s="2"/>
      <c r="D74" s="2"/>
      <c r="E74" s="35">
        <v>0.72</v>
      </c>
      <c r="F74" s="53">
        <f t="shared" si="6"/>
        <v>4.4200317489246396E-2</v>
      </c>
      <c r="G74" s="53">
        <f t="shared" si="7"/>
        <v>6.5966932835098135E-2</v>
      </c>
      <c r="H74" s="53">
        <f t="shared" si="8"/>
        <v>6.1362112852954002E-2</v>
      </c>
      <c r="I74" s="35">
        <f t="shared" si="9"/>
        <v>105.13796507618289</v>
      </c>
      <c r="J74" s="35">
        <f t="shared" si="10"/>
        <v>102.74363738813921</v>
      </c>
      <c r="K74" s="35">
        <f t="shared" si="11"/>
        <v>103.25016758617505</v>
      </c>
    </row>
    <row r="75" spans="1:11" x14ac:dyDescent="0.25">
      <c r="A75" s="2"/>
      <c r="B75" s="2"/>
      <c r="C75" s="2"/>
      <c r="D75" s="2"/>
      <c r="E75" s="35">
        <v>0.73</v>
      </c>
      <c r="F75" s="53">
        <f t="shared" si="6"/>
        <v>4.4814394113789784E-2</v>
      </c>
      <c r="G75" s="53">
        <f t="shared" si="7"/>
        <v>6.6883154651736429E-2</v>
      </c>
      <c r="H75" s="53">
        <f t="shared" si="8"/>
        <v>6.2214420143881462E-2</v>
      </c>
      <c r="I75" s="35">
        <f t="shared" si="9"/>
        <v>105.07041664748313</v>
      </c>
      <c r="J75" s="35">
        <f t="shared" si="10"/>
        <v>102.64285298830899</v>
      </c>
      <c r="K75" s="35">
        <f t="shared" si="11"/>
        <v>103.15641378417304</v>
      </c>
    </row>
    <row r="76" spans="1:11" x14ac:dyDescent="0.25">
      <c r="A76" s="2"/>
      <c r="B76" s="2"/>
      <c r="C76" s="2"/>
      <c r="D76" s="2"/>
      <c r="E76" s="35">
        <v>0.74</v>
      </c>
      <c r="F76" s="53">
        <f t="shared" si="6"/>
        <v>4.542847576096555E-2</v>
      </c>
      <c r="G76" s="53">
        <f t="shared" si="7"/>
        <v>6.7799376863337743E-2</v>
      </c>
      <c r="H76" s="53">
        <f t="shared" si="8"/>
        <v>6.3066728961480842E-2</v>
      </c>
      <c r="I76" s="35">
        <f t="shared" si="9"/>
        <v>105.0028676662938</v>
      </c>
      <c r="J76" s="35">
        <f t="shared" si="10"/>
        <v>102.54206854503285</v>
      </c>
      <c r="K76" s="35">
        <f t="shared" si="11"/>
        <v>103.06265981423711</v>
      </c>
    </row>
    <row r="77" spans="1:11" x14ac:dyDescent="0.25">
      <c r="A77" s="2"/>
      <c r="B77" s="2"/>
      <c r="C77" s="2"/>
      <c r="D77" s="2"/>
      <c r="E77" s="35">
        <v>0.75</v>
      </c>
      <c r="F77" s="53">
        <f t="shared" si="6"/>
        <v>4.604256243077369E-2</v>
      </c>
      <c r="G77" s="53">
        <f t="shared" si="7"/>
        <v>6.8715599469902092E-2</v>
      </c>
      <c r="H77" s="53">
        <f t="shared" si="8"/>
        <v>6.3919039305752171E-2</v>
      </c>
      <c r="I77" s="35">
        <f t="shared" si="9"/>
        <v>104.9353181326149</v>
      </c>
      <c r="J77" s="35">
        <f t="shared" si="10"/>
        <v>102.44128405831077</v>
      </c>
      <c r="K77" s="35">
        <f t="shared" si="11"/>
        <v>102.96890567636726</v>
      </c>
    </row>
    <row r="78" spans="1:11" x14ac:dyDescent="0.25">
      <c r="A78" s="2"/>
      <c r="B78" s="2"/>
      <c r="C78" s="2"/>
      <c r="D78" s="2"/>
      <c r="E78" s="35">
        <v>0.76</v>
      </c>
      <c r="F78" s="53">
        <f t="shared" si="6"/>
        <v>4.6656654123214202E-2</v>
      </c>
      <c r="G78" s="53">
        <f t="shared" si="7"/>
        <v>6.9631822471429489E-2</v>
      </c>
      <c r="H78" s="53">
        <f t="shared" si="8"/>
        <v>6.4771351176695399E-2</v>
      </c>
      <c r="I78" s="35">
        <f t="shared" si="9"/>
        <v>104.86776804644644</v>
      </c>
      <c r="J78" s="35">
        <f t="shared" si="10"/>
        <v>102.34049952814276</v>
      </c>
      <c r="K78" s="35">
        <f t="shared" si="11"/>
        <v>102.8751513705635</v>
      </c>
    </row>
    <row r="79" spans="1:11" x14ac:dyDescent="0.25">
      <c r="A79" s="2"/>
      <c r="B79" s="2"/>
      <c r="C79" s="2"/>
      <c r="D79" s="2"/>
      <c r="E79" s="35">
        <v>0.77</v>
      </c>
      <c r="F79" s="53">
        <f t="shared" si="6"/>
        <v>4.7270750838287086E-2</v>
      </c>
      <c r="G79" s="53">
        <f t="shared" si="7"/>
        <v>7.054804586791992E-2</v>
      </c>
      <c r="H79" s="53">
        <f t="shared" si="8"/>
        <v>6.5623664574310556E-2</v>
      </c>
      <c r="I79" s="35">
        <f t="shared" si="9"/>
        <v>104.80021740778842</v>
      </c>
      <c r="J79" s="35">
        <f t="shared" si="10"/>
        <v>102.23971495452881</v>
      </c>
      <c r="K79" s="35">
        <f t="shared" si="11"/>
        <v>102.78139689682584</v>
      </c>
    </row>
    <row r="80" spans="1:11" x14ac:dyDescent="0.25">
      <c r="A80" s="2"/>
      <c r="B80" s="2"/>
      <c r="C80" s="2"/>
      <c r="D80" s="2"/>
      <c r="E80" s="35">
        <v>0.78</v>
      </c>
      <c r="F80" s="53">
        <f t="shared" si="6"/>
        <v>4.7884852575992343E-2</v>
      </c>
      <c r="G80" s="53">
        <f t="shared" si="7"/>
        <v>7.1464269659373386E-2</v>
      </c>
      <c r="H80" s="53">
        <f t="shared" si="8"/>
        <v>6.6475979498597654E-2</v>
      </c>
      <c r="I80" s="35">
        <f t="shared" si="9"/>
        <v>104.73266621664084</v>
      </c>
      <c r="J80" s="35">
        <f t="shared" si="10"/>
        <v>102.13893033746893</v>
      </c>
      <c r="K80" s="35">
        <f t="shared" si="11"/>
        <v>102.68764225515426</v>
      </c>
    </row>
    <row r="81" spans="1:11" x14ac:dyDescent="0.25">
      <c r="A81" s="2"/>
      <c r="B81" s="2"/>
      <c r="C81" s="2"/>
      <c r="D81" s="2"/>
      <c r="E81" s="35">
        <v>0.79</v>
      </c>
      <c r="F81" s="53">
        <f t="shared" si="6"/>
        <v>4.8498959336329972E-2</v>
      </c>
      <c r="G81" s="53">
        <f t="shared" si="7"/>
        <v>7.2380493845789873E-2</v>
      </c>
      <c r="H81" s="53">
        <f t="shared" si="8"/>
        <v>6.732829594955668E-2</v>
      </c>
      <c r="I81" s="35">
        <f t="shared" si="9"/>
        <v>104.6651144730037</v>
      </c>
      <c r="J81" s="35">
        <f t="shared" si="10"/>
        <v>102.03814567696311</v>
      </c>
      <c r="K81" s="35">
        <f t="shared" si="11"/>
        <v>102.59388744554876</v>
      </c>
    </row>
    <row r="82" spans="1:11" x14ac:dyDescent="0.25">
      <c r="A82" s="2"/>
      <c r="B82" s="2"/>
      <c r="C82" s="2"/>
      <c r="D82" s="2"/>
      <c r="E82" s="35">
        <v>0.8</v>
      </c>
      <c r="F82" s="53">
        <f t="shared" si="6"/>
        <v>4.9113071119299981E-2</v>
      </c>
      <c r="G82" s="53">
        <f t="shared" si="7"/>
        <v>7.3296718427169408E-2</v>
      </c>
      <c r="H82" s="53">
        <f t="shared" si="8"/>
        <v>6.8180613927187619E-2</v>
      </c>
      <c r="I82" s="35">
        <f t="shared" si="9"/>
        <v>104.59756217687701</v>
      </c>
      <c r="J82" s="35">
        <f t="shared" si="10"/>
        <v>101.93736097301137</v>
      </c>
      <c r="K82" s="35">
        <f t="shared" si="11"/>
        <v>102.50013246800935</v>
      </c>
    </row>
    <row r="83" spans="1:11" x14ac:dyDescent="0.25">
      <c r="A83" s="2"/>
      <c r="B83" s="2"/>
      <c r="C83" s="2"/>
      <c r="D83" s="2"/>
      <c r="E83" s="35">
        <v>0.81</v>
      </c>
      <c r="F83" s="53">
        <f t="shared" si="6"/>
        <v>4.9727187924902355E-2</v>
      </c>
      <c r="G83" s="53">
        <f t="shared" si="7"/>
        <v>7.4212943403512005E-2</v>
      </c>
      <c r="H83" s="53">
        <f t="shared" si="8"/>
        <v>6.9032933431490487E-2</v>
      </c>
      <c r="I83" s="35">
        <f t="shared" si="9"/>
        <v>104.53000932826075</v>
      </c>
      <c r="J83" s="35">
        <f t="shared" si="10"/>
        <v>101.83657622561368</v>
      </c>
      <c r="K83" s="35">
        <f t="shared" si="11"/>
        <v>102.40637732253604</v>
      </c>
    </row>
    <row r="84" spans="1:11" x14ac:dyDescent="0.25">
      <c r="A84" s="2"/>
      <c r="B84" s="2"/>
      <c r="C84" s="2"/>
      <c r="D84" s="2"/>
      <c r="E84" s="35">
        <v>0.82</v>
      </c>
      <c r="F84" s="53">
        <f t="shared" si="6"/>
        <v>5.0341309753137109E-2</v>
      </c>
      <c r="G84" s="53">
        <f t="shared" si="7"/>
        <v>7.5129168774817595E-2</v>
      </c>
      <c r="H84" s="53">
        <f t="shared" si="8"/>
        <v>6.9885254462465282E-2</v>
      </c>
      <c r="I84" s="35">
        <f t="shared" si="9"/>
        <v>104.46245592715492</v>
      </c>
      <c r="J84" s="35">
        <f t="shared" si="10"/>
        <v>101.73579143477006</v>
      </c>
      <c r="K84" s="35">
        <f t="shared" si="11"/>
        <v>102.31262200912882</v>
      </c>
    </row>
    <row r="85" spans="1:11" x14ac:dyDescent="0.25">
      <c r="A85" s="2"/>
      <c r="B85" s="2"/>
      <c r="C85" s="2"/>
      <c r="D85" s="2"/>
      <c r="E85" s="35">
        <v>0.83</v>
      </c>
      <c r="F85" s="53">
        <f t="shared" si="6"/>
        <v>5.0955436604004235E-2</v>
      </c>
      <c r="G85" s="53">
        <f t="shared" si="7"/>
        <v>7.6045394541086234E-2</v>
      </c>
      <c r="H85" s="53">
        <f t="shared" si="8"/>
        <v>7.0737577020111991E-2</v>
      </c>
      <c r="I85" s="35">
        <f t="shared" si="9"/>
        <v>104.39490197355954</v>
      </c>
      <c r="J85" s="35">
        <f t="shared" si="10"/>
        <v>101.63500660048051</v>
      </c>
      <c r="K85" s="35">
        <f t="shared" si="11"/>
        <v>102.21886652778768</v>
      </c>
    </row>
    <row r="86" spans="1:11" x14ac:dyDescent="0.25">
      <c r="A86" s="2"/>
      <c r="B86" s="2"/>
      <c r="C86" s="2"/>
      <c r="D86" s="2"/>
      <c r="E86" s="35">
        <v>0.84</v>
      </c>
      <c r="F86" s="53">
        <f t="shared" si="6"/>
        <v>5.1569568477503734E-2</v>
      </c>
      <c r="G86" s="53">
        <f t="shared" si="7"/>
        <v>7.6961620702317921E-2</v>
      </c>
      <c r="H86" s="53">
        <f t="shared" si="8"/>
        <v>7.1589901104430656E-2</v>
      </c>
      <c r="I86" s="35">
        <f t="shared" si="9"/>
        <v>104.3273474674746</v>
      </c>
      <c r="J86" s="35">
        <f t="shared" si="10"/>
        <v>101.53422172274503</v>
      </c>
      <c r="K86" s="35">
        <f t="shared" si="11"/>
        <v>102.12511087851263</v>
      </c>
    </row>
    <row r="87" spans="1:11" x14ac:dyDescent="0.25">
      <c r="A87" s="2"/>
      <c r="B87" s="2"/>
      <c r="C87" s="2"/>
      <c r="D87" s="2"/>
      <c r="E87" s="35">
        <v>0.85</v>
      </c>
      <c r="F87" s="53">
        <f t="shared" si="6"/>
        <v>5.2183705373635605E-2</v>
      </c>
      <c r="G87" s="53">
        <f t="shared" si="7"/>
        <v>7.7877847258512628E-2</v>
      </c>
      <c r="H87" s="53">
        <f t="shared" si="8"/>
        <v>7.2442226715421235E-2</v>
      </c>
      <c r="I87" s="35">
        <f t="shared" si="9"/>
        <v>104.25979240890008</v>
      </c>
      <c r="J87" s="35">
        <f t="shared" si="10"/>
        <v>101.43343680156362</v>
      </c>
      <c r="K87" s="35">
        <f t="shared" si="11"/>
        <v>102.03135506130366</v>
      </c>
    </row>
    <row r="88" spans="1:11" x14ac:dyDescent="0.25">
      <c r="A88" s="2"/>
      <c r="B88" s="2"/>
      <c r="C88" s="2"/>
      <c r="D88" s="2"/>
      <c r="E88" s="35">
        <v>0.86</v>
      </c>
      <c r="F88" s="53">
        <f t="shared" si="6"/>
        <v>5.2797847292399849E-2</v>
      </c>
      <c r="G88" s="53">
        <f t="shared" si="7"/>
        <v>7.8794074209670384E-2</v>
      </c>
      <c r="H88" s="53">
        <f t="shared" si="8"/>
        <v>7.3294553853083727E-2</v>
      </c>
      <c r="I88" s="35">
        <f t="shared" si="9"/>
        <v>104.19223679783602</v>
      </c>
      <c r="J88" s="35">
        <f t="shared" si="10"/>
        <v>101.33265183693626</v>
      </c>
      <c r="K88" s="35">
        <f t="shared" si="11"/>
        <v>101.93759907616079</v>
      </c>
    </row>
    <row r="89" spans="1:11" x14ac:dyDescent="0.25">
      <c r="A89" s="2"/>
      <c r="B89" s="2"/>
      <c r="C89" s="2"/>
      <c r="D89" s="2"/>
      <c r="E89" s="35">
        <v>0.87</v>
      </c>
      <c r="F89" s="53">
        <f t="shared" si="6"/>
        <v>5.3411994233796473E-2</v>
      </c>
      <c r="G89" s="53">
        <f t="shared" si="7"/>
        <v>7.971030155579116E-2</v>
      </c>
      <c r="H89" s="53">
        <f t="shared" si="8"/>
        <v>7.4146882517418175E-2</v>
      </c>
      <c r="I89" s="35">
        <f t="shared" si="9"/>
        <v>104.12468063428238</v>
      </c>
      <c r="J89" s="35">
        <f t="shared" si="10"/>
        <v>101.23186682886298</v>
      </c>
      <c r="K89" s="35">
        <f t="shared" si="11"/>
        <v>101.843842923084</v>
      </c>
    </row>
    <row r="90" spans="1:11" x14ac:dyDescent="0.25">
      <c r="A90" s="2"/>
      <c r="B90" s="2"/>
      <c r="C90" s="2"/>
      <c r="D90" s="2"/>
      <c r="E90" s="35">
        <v>0.88</v>
      </c>
      <c r="F90" s="53">
        <f t="shared" si="6"/>
        <v>5.4026146197825468E-2</v>
      </c>
      <c r="G90" s="53">
        <f t="shared" si="7"/>
        <v>8.0626529296874999E-2</v>
      </c>
      <c r="H90" s="53">
        <f t="shared" si="8"/>
        <v>7.4999212708424523E-2</v>
      </c>
      <c r="I90" s="35">
        <f t="shared" si="9"/>
        <v>104.0571239182392</v>
      </c>
      <c r="J90" s="35">
        <f t="shared" si="10"/>
        <v>101.13108177734375</v>
      </c>
      <c r="K90" s="35">
        <f t="shared" si="11"/>
        <v>101.75008660207331</v>
      </c>
    </row>
    <row r="91" spans="1:11" x14ac:dyDescent="0.25">
      <c r="A91" s="2"/>
      <c r="B91" s="2"/>
      <c r="C91" s="2"/>
      <c r="D91" s="2"/>
      <c r="E91" s="35">
        <v>0.89</v>
      </c>
      <c r="F91" s="53">
        <f t="shared" si="6"/>
        <v>5.4640303184486837E-2</v>
      </c>
      <c r="G91" s="53">
        <f t="shared" si="7"/>
        <v>8.1542757432921859E-2</v>
      </c>
      <c r="H91" s="53">
        <f t="shared" si="8"/>
        <v>7.5851544426102799E-2</v>
      </c>
      <c r="I91" s="35">
        <f t="shared" si="9"/>
        <v>103.98956664970645</v>
      </c>
      <c r="J91" s="35">
        <f t="shared" si="10"/>
        <v>101.03029668237859</v>
      </c>
      <c r="K91" s="35">
        <f t="shared" si="11"/>
        <v>101.65633011312869</v>
      </c>
    </row>
    <row r="92" spans="1:11" x14ac:dyDescent="0.25">
      <c r="A92" s="2"/>
      <c r="B92" s="2"/>
      <c r="C92" s="2"/>
      <c r="D92" s="2"/>
      <c r="E92" s="35">
        <v>0.9</v>
      </c>
      <c r="F92" s="53">
        <f t="shared" si="6"/>
        <v>5.5254465193780571E-2</v>
      </c>
      <c r="G92" s="53">
        <f t="shared" si="7"/>
        <v>8.2458985963931752E-2</v>
      </c>
      <c r="H92" s="53">
        <f t="shared" si="8"/>
        <v>7.6703877670453016E-2</v>
      </c>
      <c r="I92" s="35">
        <f t="shared" si="9"/>
        <v>103.92200882868414</v>
      </c>
      <c r="J92" s="35">
        <f t="shared" si="10"/>
        <v>100.92951154396751</v>
      </c>
      <c r="K92" s="35">
        <f t="shared" si="11"/>
        <v>101.56257345625016</v>
      </c>
    </row>
    <row r="93" spans="1:11" x14ac:dyDescent="0.25">
      <c r="A93" s="2"/>
      <c r="B93" s="2"/>
      <c r="C93" s="2"/>
      <c r="D93" s="2"/>
      <c r="E93" s="35">
        <v>0.91</v>
      </c>
      <c r="F93" s="53">
        <f t="shared" si="6"/>
        <v>5.5868632225706691E-2</v>
      </c>
      <c r="G93" s="53">
        <f t="shared" si="7"/>
        <v>8.3375214889904681E-2</v>
      </c>
      <c r="H93" s="53">
        <f t="shared" si="8"/>
        <v>7.7556212441475161E-2</v>
      </c>
      <c r="I93" s="35">
        <f t="shared" si="9"/>
        <v>103.85445045517227</v>
      </c>
      <c r="J93" s="35">
        <f t="shared" si="10"/>
        <v>100.82872636211049</v>
      </c>
      <c r="K93" s="35">
        <f t="shared" si="11"/>
        <v>101.46881663143773</v>
      </c>
    </row>
    <row r="94" spans="1:11" x14ac:dyDescent="0.25">
      <c r="A94" s="2"/>
      <c r="B94" s="2"/>
      <c r="C94" s="2"/>
      <c r="D94" s="2"/>
      <c r="E94" s="35">
        <v>0.92</v>
      </c>
      <c r="F94" s="53">
        <f t="shared" si="6"/>
        <v>5.6482804280265177E-2</v>
      </c>
      <c r="G94" s="53">
        <f t="shared" si="7"/>
        <v>8.4291444210840658E-2</v>
      </c>
      <c r="H94" s="53">
        <f t="shared" si="8"/>
        <v>7.840854873916922E-2</v>
      </c>
      <c r="I94" s="35">
        <f t="shared" si="9"/>
        <v>103.78689152917083</v>
      </c>
      <c r="J94" s="35">
        <f t="shared" si="10"/>
        <v>100.72794113680753</v>
      </c>
      <c r="K94" s="35">
        <f t="shared" si="11"/>
        <v>101.37505963869138</v>
      </c>
    </row>
    <row r="95" spans="1:11" x14ac:dyDescent="0.25">
      <c r="A95" s="2"/>
      <c r="B95" s="2"/>
      <c r="C95" s="2"/>
      <c r="D95" s="2"/>
      <c r="E95" s="35">
        <v>0.93</v>
      </c>
      <c r="F95" s="53">
        <f t="shared" si="6"/>
        <v>5.7096981357456035E-2</v>
      </c>
      <c r="G95" s="53">
        <f t="shared" si="7"/>
        <v>8.5207673926739655E-2</v>
      </c>
      <c r="H95" s="53">
        <f t="shared" si="8"/>
        <v>7.9260886563535193E-2</v>
      </c>
      <c r="I95" s="35">
        <f t="shared" si="9"/>
        <v>103.71933205067984</v>
      </c>
      <c r="J95" s="35">
        <f t="shared" si="10"/>
        <v>100.62715586805864</v>
      </c>
      <c r="K95" s="35">
        <f t="shared" si="11"/>
        <v>101.28130247801113</v>
      </c>
    </row>
    <row r="96" spans="1:11" x14ac:dyDescent="0.25">
      <c r="A96" s="2"/>
      <c r="B96" s="2"/>
      <c r="C96" s="2"/>
      <c r="D96" s="2"/>
      <c r="E96" s="35">
        <v>0.94</v>
      </c>
      <c r="F96" s="53">
        <f t="shared" si="6"/>
        <v>5.7711163457279273E-2</v>
      </c>
      <c r="G96" s="53">
        <f t="shared" si="7"/>
        <v>8.6123904037601673E-2</v>
      </c>
      <c r="H96" s="53">
        <f t="shared" si="8"/>
        <v>8.0113225914573108E-2</v>
      </c>
      <c r="I96" s="35">
        <f t="shared" si="9"/>
        <v>103.65177201969928</v>
      </c>
      <c r="J96" s="35">
        <f t="shared" si="10"/>
        <v>100.52637055586382</v>
      </c>
      <c r="K96" s="35">
        <f t="shared" si="11"/>
        <v>101.18754514939695</v>
      </c>
    </row>
    <row r="97" spans="1:11" x14ac:dyDescent="0.25">
      <c r="A97" s="2"/>
      <c r="B97" s="2"/>
      <c r="C97" s="2"/>
      <c r="D97" s="2"/>
      <c r="E97" s="35">
        <v>0.95</v>
      </c>
      <c r="F97" s="53">
        <f t="shared" si="6"/>
        <v>5.8325350579734883E-2</v>
      </c>
      <c r="G97" s="53">
        <f t="shared" si="7"/>
        <v>8.7040134543426767E-2</v>
      </c>
      <c r="H97" s="53">
        <f t="shared" si="8"/>
        <v>8.096556679228295E-2</v>
      </c>
      <c r="I97" s="35">
        <f t="shared" si="9"/>
        <v>103.58421143622917</v>
      </c>
      <c r="J97" s="35">
        <f t="shared" si="10"/>
        <v>100.42558520022305</v>
      </c>
      <c r="K97" s="35">
        <f t="shared" si="11"/>
        <v>101.09378765284887</v>
      </c>
    </row>
    <row r="98" spans="1:11" x14ac:dyDescent="0.25">
      <c r="A98" s="2"/>
      <c r="B98" s="2"/>
      <c r="C98" s="2"/>
      <c r="D98" s="2"/>
      <c r="E98" s="35">
        <v>0.96</v>
      </c>
      <c r="F98" s="53">
        <f t="shared" si="6"/>
        <v>5.8939542724822859E-2</v>
      </c>
      <c r="G98" s="53">
        <f t="shared" si="7"/>
        <v>8.7956365444214868E-2</v>
      </c>
      <c r="H98" s="53">
        <f t="shared" si="8"/>
        <v>8.1817909196664734E-2</v>
      </c>
      <c r="I98" s="35">
        <f t="shared" si="9"/>
        <v>103.51665030026949</v>
      </c>
      <c r="J98" s="35">
        <f t="shared" si="10"/>
        <v>100.32479980113636</v>
      </c>
      <c r="K98" s="35">
        <f t="shared" si="11"/>
        <v>101.00002998836688</v>
      </c>
    </row>
    <row r="99" spans="1:11" x14ac:dyDescent="0.25">
      <c r="A99" s="2"/>
      <c r="B99" s="2"/>
      <c r="C99" s="2"/>
      <c r="D99" s="2"/>
      <c r="E99" s="35">
        <v>0.97</v>
      </c>
      <c r="F99" s="53">
        <f t="shared" si="6"/>
        <v>5.9553739892543214E-2</v>
      </c>
      <c r="G99" s="53">
        <f t="shared" si="7"/>
        <v>8.8872596739966017E-2</v>
      </c>
      <c r="H99" s="53">
        <f t="shared" si="8"/>
        <v>8.2670253127718418E-2</v>
      </c>
      <c r="I99" s="35">
        <f t="shared" si="9"/>
        <v>103.44908861182024</v>
      </c>
      <c r="J99" s="35">
        <f t="shared" si="10"/>
        <v>100.22401435860374</v>
      </c>
      <c r="K99" s="35">
        <f t="shared" si="11"/>
        <v>100.90627215595097</v>
      </c>
    </row>
    <row r="100" spans="1:11" x14ac:dyDescent="0.25">
      <c r="A100" s="2"/>
      <c r="B100" s="2"/>
      <c r="C100" s="2"/>
      <c r="D100" s="2"/>
      <c r="E100" s="35">
        <v>0.98</v>
      </c>
      <c r="F100" s="53">
        <f t="shared" si="6"/>
        <v>6.0167942082895949E-2</v>
      </c>
      <c r="G100" s="53">
        <f t="shared" si="7"/>
        <v>8.9788828430680201E-2</v>
      </c>
      <c r="H100" s="53">
        <f t="shared" si="8"/>
        <v>8.3522598585444044E-2</v>
      </c>
      <c r="I100" s="35">
        <f t="shared" si="9"/>
        <v>103.38152637088145</v>
      </c>
      <c r="J100" s="35">
        <f t="shared" si="10"/>
        <v>100.12322887262518</v>
      </c>
      <c r="K100" s="35">
        <f t="shared" si="11"/>
        <v>100.81251415560115</v>
      </c>
    </row>
    <row r="101" spans="1:11" x14ac:dyDescent="0.25">
      <c r="A101" s="2"/>
      <c r="B101" s="2"/>
      <c r="C101" s="2"/>
      <c r="D101" s="2"/>
      <c r="E101" s="35">
        <v>0.99</v>
      </c>
      <c r="F101" s="53">
        <f t="shared" si="6"/>
        <v>6.0782149295881049E-2</v>
      </c>
      <c r="G101" s="53">
        <f t="shared" si="7"/>
        <v>9.0705060516357419E-2</v>
      </c>
      <c r="H101" s="53">
        <f t="shared" si="8"/>
        <v>8.4374945569841597E-2</v>
      </c>
      <c r="I101" s="35">
        <f t="shared" si="9"/>
        <v>103.31396357745308</v>
      </c>
      <c r="J101" s="35">
        <f t="shared" si="10"/>
        <v>100.02244334320068</v>
      </c>
      <c r="K101" s="35">
        <f t="shared" si="11"/>
        <v>100.71875598731742</v>
      </c>
    </row>
    <row r="102" spans="1:11" x14ac:dyDescent="0.25">
      <c r="A102" s="2"/>
      <c r="B102" s="2"/>
      <c r="C102" s="2"/>
      <c r="D102" s="2"/>
      <c r="E102" s="54">
        <v>1</v>
      </c>
      <c r="F102" s="55">
        <f t="shared" si="6"/>
        <v>6.1396361531498522E-2</v>
      </c>
      <c r="G102" s="55">
        <f t="shared" si="7"/>
        <v>9.1621292996997672E-2</v>
      </c>
      <c r="H102" s="55">
        <f t="shared" si="8"/>
        <v>8.5227294080911065E-2</v>
      </c>
      <c r="I102" s="54">
        <f t="shared" si="9"/>
        <v>103.24640023153516</v>
      </c>
      <c r="J102" s="54">
        <f t="shared" si="10"/>
        <v>99.921657770330256</v>
      </c>
      <c r="K102" s="54">
        <f t="shared" si="11"/>
        <v>100.62499765109979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L21" sqref="L21"/>
    </sheetView>
  </sheetViews>
  <sheetFormatPr defaultRowHeight="15" x14ac:dyDescent="0.25"/>
  <cols>
    <col min="1" max="1" width="7.85546875" customWidth="1"/>
    <col min="2" max="3" width="7.140625" customWidth="1"/>
    <col min="4" max="6" width="7.42578125" customWidth="1"/>
    <col min="7" max="7" width="7.140625" customWidth="1"/>
    <col min="8" max="8" width="7.42578125" customWidth="1"/>
    <col min="9" max="9" width="11.28515625" bestFit="1" customWidth="1"/>
  </cols>
  <sheetData>
    <row r="1" spans="1:10" x14ac:dyDescent="0.25">
      <c r="A1" s="56" t="s">
        <v>0</v>
      </c>
      <c r="B1" s="16" t="s">
        <v>12</v>
      </c>
      <c r="C1" s="59" t="s">
        <v>1</v>
      </c>
      <c r="D1" s="59"/>
      <c r="E1" s="59"/>
      <c r="F1" s="59" t="s">
        <v>2</v>
      </c>
      <c r="G1" s="59"/>
      <c r="H1" s="59"/>
      <c r="I1" s="16" t="s">
        <v>13</v>
      </c>
      <c r="J1" s="16" t="s">
        <v>14</v>
      </c>
    </row>
    <row r="2" spans="1:10" x14ac:dyDescent="0.25">
      <c r="A2" s="16"/>
      <c r="B2" s="19"/>
      <c r="C2" s="16" t="s">
        <v>8</v>
      </c>
      <c r="D2" s="16" t="s">
        <v>9</v>
      </c>
      <c r="E2" s="16"/>
      <c r="F2" s="16" t="s">
        <v>8</v>
      </c>
      <c r="G2" s="16" t="s">
        <v>9</v>
      </c>
      <c r="H2" s="16"/>
      <c r="I2" s="19"/>
      <c r="J2" s="19"/>
    </row>
    <row r="3" spans="1:10" x14ac:dyDescent="0.25">
      <c r="A3" s="16">
        <v>1</v>
      </c>
      <c r="B3" s="19">
        <v>0</v>
      </c>
      <c r="C3" s="17">
        <v>11.6</v>
      </c>
      <c r="D3" s="17">
        <v>1</v>
      </c>
      <c r="E3" s="18">
        <f t="shared" ref="E3:E12" si="0">C3*D3</f>
        <v>11.6</v>
      </c>
      <c r="F3" s="19">
        <v>210</v>
      </c>
      <c r="G3" s="19">
        <v>1</v>
      </c>
      <c r="H3" s="18">
        <f t="shared" ref="H3:H12" si="1">F3*G3</f>
        <v>210</v>
      </c>
      <c r="I3" s="60">
        <f>E3/(H3/1000)</f>
        <v>55.238095238095241</v>
      </c>
      <c r="J3" s="61">
        <f>(I3/$B$16)*(235+$B$15)-235+4.82</f>
        <v>20.598990104034534</v>
      </c>
    </row>
    <row r="4" spans="1:10" x14ac:dyDescent="0.25">
      <c r="A4" s="16">
        <v>2</v>
      </c>
      <c r="B4" s="19">
        <v>5</v>
      </c>
      <c r="C4" s="17">
        <v>11.5</v>
      </c>
      <c r="D4" s="17">
        <v>1</v>
      </c>
      <c r="E4" s="18">
        <f t="shared" si="0"/>
        <v>11.5</v>
      </c>
      <c r="F4" s="19">
        <v>190</v>
      </c>
      <c r="G4" s="19">
        <v>1</v>
      </c>
      <c r="H4" s="18">
        <f t="shared" si="1"/>
        <v>190</v>
      </c>
      <c r="I4" s="60">
        <f t="shared" ref="I4:I12" si="2">E4/(H4/1000)</f>
        <v>60.526315789473685</v>
      </c>
      <c r="J4" s="61">
        <f>(I4/$B$16)*(235+$B$15)-235</f>
        <v>39.787323548658492</v>
      </c>
    </row>
    <row r="5" spans="1:10" x14ac:dyDescent="0.25">
      <c r="A5" s="16">
        <v>3</v>
      </c>
      <c r="B5" s="19">
        <v>10</v>
      </c>
      <c r="C5" s="17">
        <v>11.7</v>
      </c>
      <c r="D5" s="17">
        <v>1</v>
      </c>
      <c r="E5" s="18">
        <f t="shared" si="0"/>
        <v>11.7</v>
      </c>
      <c r="F5" s="19">
        <v>185</v>
      </c>
      <c r="G5" s="19">
        <v>1</v>
      </c>
      <c r="H5" s="18">
        <f t="shared" si="1"/>
        <v>185</v>
      </c>
      <c r="I5" s="60">
        <f t="shared" si="2"/>
        <v>63.243243243243242</v>
      </c>
      <c r="J5" s="61">
        <f t="shared" ref="J5:J12" si="3">(I5/$B$16)*(235+$B$15)-235</f>
        <v>52.122077672699334</v>
      </c>
    </row>
    <row r="6" spans="1:10" x14ac:dyDescent="0.25">
      <c r="A6" s="16">
        <v>4</v>
      </c>
      <c r="B6" s="19">
        <v>15</v>
      </c>
      <c r="C6" s="17">
        <v>11.85</v>
      </c>
      <c r="D6" s="17">
        <v>1</v>
      </c>
      <c r="E6" s="18">
        <f t="shared" si="0"/>
        <v>11.85</v>
      </c>
      <c r="F6" s="19">
        <v>180</v>
      </c>
      <c r="G6" s="19">
        <v>1</v>
      </c>
      <c r="H6" s="18">
        <f t="shared" si="1"/>
        <v>180</v>
      </c>
      <c r="I6" s="60">
        <f t="shared" si="2"/>
        <v>65.833333333333329</v>
      </c>
      <c r="J6" s="61">
        <f t="shared" si="3"/>
        <v>63.880994671403187</v>
      </c>
    </row>
    <row r="7" spans="1:10" x14ac:dyDescent="0.25">
      <c r="A7" s="16">
        <v>5</v>
      </c>
      <c r="B7" s="19">
        <v>20</v>
      </c>
      <c r="C7" s="17">
        <v>11.9</v>
      </c>
      <c r="D7" s="17">
        <v>1</v>
      </c>
      <c r="E7" s="18">
        <f t="shared" si="0"/>
        <v>11.9</v>
      </c>
      <c r="F7" s="19">
        <v>180</v>
      </c>
      <c r="G7" s="19">
        <v>1</v>
      </c>
      <c r="H7" s="18">
        <f t="shared" si="1"/>
        <v>180</v>
      </c>
      <c r="I7" s="60">
        <f t="shared" si="2"/>
        <v>66.111111111111114</v>
      </c>
      <c r="J7" s="61">
        <f t="shared" si="3"/>
        <v>65.14209591474247</v>
      </c>
    </row>
    <row r="8" spans="1:10" x14ac:dyDescent="0.25">
      <c r="A8" s="16">
        <v>6</v>
      </c>
      <c r="B8" s="19">
        <v>25</v>
      </c>
      <c r="C8" s="17">
        <v>11.95</v>
      </c>
      <c r="D8" s="17">
        <v>1</v>
      </c>
      <c r="E8" s="18">
        <f t="shared" si="0"/>
        <v>11.95</v>
      </c>
      <c r="F8" s="19">
        <v>185</v>
      </c>
      <c r="G8" s="19">
        <v>1</v>
      </c>
      <c r="H8" s="18">
        <f t="shared" si="1"/>
        <v>185</v>
      </c>
      <c r="I8" s="60">
        <f t="shared" si="2"/>
        <v>64.594594594594597</v>
      </c>
      <c r="J8" s="61">
        <f t="shared" si="3"/>
        <v>58.257164802457908</v>
      </c>
    </row>
    <row r="9" spans="1:10" x14ac:dyDescent="0.25">
      <c r="A9" s="16">
        <v>7</v>
      </c>
      <c r="B9" s="19">
        <v>30</v>
      </c>
      <c r="C9" s="17">
        <v>11.95</v>
      </c>
      <c r="D9" s="17">
        <v>1</v>
      </c>
      <c r="E9" s="18">
        <f t="shared" si="0"/>
        <v>11.95</v>
      </c>
      <c r="F9" s="19">
        <v>185</v>
      </c>
      <c r="G9" s="19">
        <v>1</v>
      </c>
      <c r="H9" s="18">
        <f t="shared" si="1"/>
        <v>185</v>
      </c>
      <c r="I9" s="60">
        <f t="shared" si="2"/>
        <v>64.594594594594597</v>
      </c>
      <c r="J9" s="61">
        <f t="shared" si="3"/>
        <v>58.257164802457908</v>
      </c>
    </row>
    <row r="10" spans="1:10" x14ac:dyDescent="0.25">
      <c r="A10" s="16">
        <v>8</v>
      </c>
      <c r="B10" s="19">
        <v>35</v>
      </c>
      <c r="C10" s="17">
        <v>11.85</v>
      </c>
      <c r="D10" s="17">
        <v>1</v>
      </c>
      <c r="E10" s="18">
        <f t="shared" si="0"/>
        <v>11.85</v>
      </c>
      <c r="F10" s="19">
        <v>185</v>
      </c>
      <c r="G10" s="19">
        <v>1</v>
      </c>
      <c r="H10" s="18">
        <f t="shared" si="1"/>
        <v>185</v>
      </c>
      <c r="I10" s="60">
        <f t="shared" si="2"/>
        <v>64.054054054054049</v>
      </c>
      <c r="J10" s="61">
        <f t="shared" si="3"/>
        <v>55.803129950554421</v>
      </c>
    </row>
    <row r="11" spans="1:10" x14ac:dyDescent="0.25">
      <c r="A11" s="16">
        <v>9</v>
      </c>
      <c r="B11" s="19">
        <v>40</v>
      </c>
      <c r="C11" s="17">
        <v>11.8</v>
      </c>
      <c r="D11" s="17">
        <v>1</v>
      </c>
      <c r="E11" s="18">
        <f t="shared" si="0"/>
        <v>11.8</v>
      </c>
      <c r="F11" s="19">
        <v>175</v>
      </c>
      <c r="G11" s="19">
        <v>1</v>
      </c>
      <c r="H11" s="18">
        <f t="shared" si="1"/>
        <v>175</v>
      </c>
      <c r="I11" s="60">
        <f t="shared" si="2"/>
        <v>67.428571428571431</v>
      </c>
      <c r="J11" s="61">
        <f t="shared" si="3"/>
        <v>71.1233189545801</v>
      </c>
    </row>
    <row r="12" spans="1:10" x14ac:dyDescent="0.25">
      <c r="A12" s="16">
        <v>10</v>
      </c>
      <c r="B12" s="19">
        <v>45</v>
      </c>
      <c r="C12" s="17">
        <v>11.8</v>
      </c>
      <c r="D12" s="17">
        <v>1</v>
      </c>
      <c r="E12" s="18">
        <f t="shared" si="0"/>
        <v>11.8</v>
      </c>
      <c r="F12" s="19">
        <v>170</v>
      </c>
      <c r="G12" s="19">
        <v>1</v>
      </c>
      <c r="H12" s="18">
        <f t="shared" si="1"/>
        <v>170</v>
      </c>
      <c r="I12" s="60">
        <f t="shared" si="2"/>
        <v>69.411764705882348</v>
      </c>
      <c r="J12" s="61">
        <f t="shared" si="3"/>
        <v>80.126945982655911</v>
      </c>
    </row>
    <row r="15" spans="1:10" x14ac:dyDescent="0.25">
      <c r="A15" s="31" t="s">
        <v>18</v>
      </c>
      <c r="B15" s="32">
        <v>20.6</v>
      </c>
      <c r="C15" s="30" t="s">
        <v>70</v>
      </c>
    </row>
    <row r="16" spans="1:10" x14ac:dyDescent="0.25">
      <c r="A16" s="31" t="s">
        <v>19</v>
      </c>
      <c r="B16" s="32">
        <v>56.3</v>
      </c>
      <c r="C16" s="30" t="s">
        <v>69</v>
      </c>
    </row>
    <row r="17" spans="1:5" x14ac:dyDescent="0.25">
      <c r="A17" s="31" t="s">
        <v>21</v>
      </c>
      <c r="B17" s="32">
        <v>75</v>
      </c>
      <c r="C17" s="30" t="s">
        <v>70</v>
      </c>
    </row>
    <row r="18" spans="1:5" x14ac:dyDescent="0.25">
      <c r="A18" s="31" t="s">
        <v>11</v>
      </c>
      <c r="B18" s="41">
        <f ca="1">#REF!*(235+$B$18)/(235+$B$16)</f>
        <v>68.282472613458523</v>
      </c>
      <c r="C18" s="30" t="s">
        <v>69</v>
      </c>
    </row>
    <row r="20" spans="1:5" x14ac:dyDescent="0.25">
      <c r="A20" s="51"/>
      <c r="B20" s="52"/>
      <c r="C20" s="50"/>
      <c r="E20" s="12"/>
    </row>
    <row r="21" spans="1:5" x14ac:dyDescent="0.25">
      <c r="A21" s="48"/>
      <c r="B21" s="49"/>
      <c r="C21" s="50"/>
      <c r="E21" s="12"/>
    </row>
    <row r="22" spans="1:5" x14ac:dyDescent="0.25">
      <c r="E22" s="12"/>
    </row>
  </sheetData>
  <mergeCells count="2">
    <mergeCell ref="C1:E1"/>
    <mergeCell ref="F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Резултати мјерења</vt:lpstr>
      <vt:lpstr>Δu%=f(cosϕ) у хладном стању</vt:lpstr>
      <vt:lpstr>Δu%=f(cosϕ) у топлом стању</vt:lpstr>
      <vt:lpstr>U2=f(cosϕ)</vt:lpstr>
      <vt:lpstr>Пораст температуре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Nenad Kajkut</dc:creator>
  <cp:lastModifiedBy>user</cp:lastModifiedBy>
  <dcterms:created xsi:type="dcterms:W3CDTF">2021-04-24T16:13:04Z</dcterms:created>
  <dcterms:modified xsi:type="dcterms:W3CDTF">2021-06-30T19:02:35Z</dcterms:modified>
</cp:coreProperties>
</file>