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7235" windowHeight="6225"/>
  </bookViews>
  <sheets>
    <sheet name="Резултати мјерења" sheetId="1" r:id="rId1"/>
  </sheets>
  <calcPr calcId="144525"/>
</workbook>
</file>

<file path=xl/calcChain.xml><?xml version="1.0" encoding="utf-8"?>
<calcChain xmlns="http://schemas.openxmlformats.org/spreadsheetml/2006/main">
  <c r="AL4" i="1" l="1"/>
  <c r="AL5" i="1"/>
  <c r="AL6" i="1"/>
  <c r="AL7" i="1"/>
  <c r="AL8" i="1"/>
  <c r="AL9" i="1"/>
  <c r="AL10" i="1"/>
  <c r="AL3" i="1"/>
  <c r="AK4" i="1"/>
  <c r="AK5" i="1"/>
  <c r="AK6" i="1"/>
  <c r="AK7" i="1"/>
  <c r="AK8" i="1"/>
  <c r="AK9" i="1"/>
  <c r="AK10" i="1"/>
  <c r="AK3" i="1"/>
  <c r="AJ4" i="1"/>
  <c r="AJ5" i="1"/>
  <c r="AJ6" i="1"/>
  <c r="AJ7" i="1"/>
  <c r="AJ8" i="1"/>
  <c r="AJ9" i="1"/>
  <c r="AJ10" i="1"/>
  <c r="AJ3" i="1"/>
  <c r="AI4" i="1"/>
  <c r="AI5" i="1"/>
  <c r="AI6" i="1"/>
  <c r="AI7" i="1"/>
  <c r="AI8" i="1"/>
  <c r="AI9" i="1"/>
  <c r="AI10" i="1"/>
  <c r="AI3" i="1"/>
  <c r="AH4" i="1"/>
  <c r="AH5" i="1"/>
  <c r="AH6" i="1"/>
  <c r="AH7" i="1"/>
  <c r="AH8" i="1"/>
  <c r="AH9" i="1"/>
  <c r="AH10" i="1"/>
  <c r="AH3" i="1"/>
  <c r="AE4" i="1"/>
  <c r="AE5" i="1"/>
  <c r="AE6" i="1"/>
  <c r="AE7" i="1"/>
  <c r="AE8" i="1"/>
  <c r="AE9" i="1"/>
  <c r="AE10" i="1"/>
  <c r="AE3" i="1"/>
  <c r="AB4" i="1"/>
  <c r="AB5" i="1"/>
  <c r="AB6" i="1"/>
  <c r="AB7" i="1"/>
  <c r="AB8" i="1"/>
  <c r="AB9" i="1"/>
  <c r="AB10" i="1"/>
  <c r="AB3" i="1"/>
  <c r="Y4" i="1"/>
  <c r="Y5" i="1"/>
  <c r="Y6" i="1"/>
  <c r="Y7" i="1"/>
  <c r="Y8" i="1"/>
  <c r="Y9" i="1"/>
  <c r="Y10" i="1"/>
  <c r="Y3" i="1"/>
  <c r="V4" i="1"/>
  <c r="V5" i="1"/>
  <c r="V6" i="1"/>
  <c r="V7" i="1"/>
  <c r="V8" i="1"/>
  <c r="V9" i="1"/>
  <c r="V10" i="1"/>
  <c r="V3" i="1"/>
  <c r="S4" i="1"/>
  <c r="S5" i="1"/>
  <c r="S6" i="1"/>
  <c r="S7" i="1"/>
  <c r="S8" i="1"/>
  <c r="S9" i="1"/>
  <c r="S10" i="1"/>
  <c r="S3" i="1"/>
  <c r="P4" i="1"/>
  <c r="P5" i="1"/>
  <c r="P6" i="1"/>
  <c r="P7" i="1"/>
  <c r="P8" i="1"/>
  <c r="P9" i="1"/>
  <c r="P10" i="1"/>
  <c r="P3" i="1"/>
  <c r="M4" i="1"/>
  <c r="M5" i="1"/>
  <c r="M6" i="1"/>
  <c r="M7" i="1"/>
  <c r="M8" i="1"/>
  <c r="M9" i="1"/>
  <c r="M10" i="1"/>
  <c r="M3" i="1"/>
  <c r="J4" i="1"/>
  <c r="J5" i="1"/>
  <c r="J6" i="1"/>
  <c r="J7" i="1"/>
  <c r="J8" i="1"/>
  <c r="J9" i="1"/>
  <c r="J10" i="1"/>
  <c r="J3" i="1"/>
  <c r="G4" i="1"/>
  <c r="G5" i="1"/>
  <c r="G6" i="1"/>
  <c r="G7" i="1"/>
  <c r="G8" i="1"/>
  <c r="G9" i="1"/>
  <c r="G10" i="1"/>
  <c r="G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<sst xmlns="http://schemas.openxmlformats.org/spreadsheetml/2006/main" count="42" uniqueCount="20">
  <si>
    <t>RBM</t>
  </si>
  <si>
    <t>α</t>
  </si>
  <si>
    <t>k</t>
  </si>
  <si>
    <t>R - r</t>
  </si>
  <si>
    <t>r</t>
  </si>
  <si>
    <t>kΩ</t>
  </si>
  <si>
    <t>Ufa0' [V]</t>
  </si>
  <si>
    <t>Ufb0' [V]</t>
  </si>
  <si>
    <t>Ufc0' [V]</t>
  </si>
  <si>
    <t>Uf0' [V]</t>
  </si>
  <si>
    <t>Uf0'' [V]</t>
  </si>
  <si>
    <t>Pa0 [W]</t>
  </si>
  <si>
    <t>Pb0 [W]</t>
  </si>
  <si>
    <t>Pc0 [W]</t>
  </si>
  <si>
    <t>Ifa0' [A]</t>
  </si>
  <si>
    <t>Ifb0' [A]</t>
  </si>
  <si>
    <t>Ifc0' [A]</t>
  </si>
  <si>
    <t>If0' [A]</t>
  </si>
  <si>
    <t>P0 [W]</t>
  </si>
  <si>
    <r>
      <t>m</t>
    </r>
    <r>
      <rPr>
        <b/>
        <sz val="8"/>
        <color theme="1"/>
        <rFont val="Times New Roman"/>
        <family val="1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</si>
</sst>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"/>
  <sheetViews>
    <sheetView tabSelected="1" workbookViewId="0">
      <selection activeCell="K13" sqref="K13"/>
    </sheetView>
  </sheetViews>
  <sheetFormatPr defaultRowHeight="15" x14ac:dyDescent="0.25"/>
  <cols>
    <col min="1" max="1" width="6.28515625" style="1" bestFit="1" customWidth="1"/>
    <col min="2" max="2" width="6" style="1" bestFit="1" customWidth="1"/>
    <col min="3" max="3" width="3.42578125" style="1" bestFit="1" customWidth="1"/>
    <col min="4" max="5" width="6" style="1" bestFit="1" customWidth="1"/>
    <col min="6" max="6" width="3.5703125" style="1" bestFit="1" customWidth="1"/>
    <col min="7" max="8" width="6" style="1" bestFit="1" customWidth="1"/>
    <col min="9" max="9" width="2.28515625" style="1" bestFit="1" customWidth="1"/>
    <col min="10" max="10" width="6" style="1" bestFit="1" customWidth="1"/>
    <col min="11" max="11" width="4" style="1" bestFit="1" customWidth="1"/>
    <col min="12" max="12" width="2.28515625" style="1" bestFit="1" customWidth="1"/>
    <col min="13" max="14" width="4" style="1" bestFit="1" customWidth="1"/>
    <col min="15" max="15" width="2.28515625" style="1" bestFit="1" customWidth="1"/>
    <col min="16" max="16" width="4" style="1" bestFit="1" customWidth="1"/>
    <col min="17" max="19" width="2.85546875" style="1" customWidth="1"/>
    <col min="20" max="20" width="3" style="1" bestFit="1" customWidth="1"/>
    <col min="21" max="21" width="2.28515625" style="1" bestFit="1" customWidth="1"/>
    <col min="22" max="23" width="3" style="1" bestFit="1" customWidth="1"/>
    <col min="24" max="24" width="2.28515625" style="1" bestFit="1" customWidth="1"/>
    <col min="25" max="25" width="3" style="1" bestFit="1" customWidth="1"/>
    <col min="26" max="26" width="6" style="1" bestFit="1" customWidth="1"/>
    <col min="27" max="27" width="2.28515625" style="1" bestFit="1" customWidth="1"/>
    <col min="28" max="29" width="6" style="1" bestFit="1" customWidth="1"/>
    <col min="30" max="30" width="2.28515625" style="1" bestFit="1" customWidth="1"/>
    <col min="31" max="32" width="6" style="1" bestFit="1" customWidth="1"/>
    <col min="33" max="33" width="2.28515625" style="1" bestFit="1" customWidth="1"/>
    <col min="34" max="34" width="6" style="1" bestFit="1" customWidth="1"/>
    <col min="35" max="16384" width="9.140625" style="1"/>
  </cols>
  <sheetData>
    <row r="1" spans="1:38" x14ac:dyDescent="0.25">
      <c r="A1" s="4" t="s">
        <v>0</v>
      </c>
      <c r="B1" s="4" t="s">
        <v>6</v>
      </c>
      <c r="C1" s="4"/>
      <c r="D1" s="4"/>
      <c r="E1" s="4" t="s">
        <v>7</v>
      </c>
      <c r="F1" s="4"/>
      <c r="G1" s="4"/>
      <c r="H1" s="4" t="s">
        <v>8</v>
      </c>
      <c r="I1" s="4"/>
      <c r="J1" s="4"/>
      <c r="K1" s="4" t="s">
        <v>9</v>
      </c>
      <c r="L1" s="4"/>
      <c r="M1" s="4"/>
      <c r="N1" s="4" t="s">
        <v>10</v>
      </c>
      <c r="O1" s="4"/>
      <c r="P1" s="4"/>
      <c r="Q1" s="4" t="s">
        <v>11</v>
      </c>
      <c r="R1" s="4"/>
      <c r="S1" s="4"/>
      <c r="T1" s="4" t="s">
        <v>12</v>
      </c>
      <c r="U1" s="4"/>
      <c r="V1" s="4"/>
      <c r="W1" s="4" t="s">
        <v>13</v>
      </c>
      <c r="X1" s="4"/>
      <c r="Y1" s="4"/>
      <c r="Z1" s="4" t="s">
        <v>14</v>
      </c>
      <c r="AA1" s="4"/>
      <c r="AB1" s="4"/>
      <c r="AC1" s="4" t="s">
        <v>15</v>
      </c>
      <c r="AD1" s="4"/>
      <c r="AE1" s="4"/>
      <c r="AF1" s="4" t="s">
        <v>16</v>
      </c>
      <c r="AG1" s="4"/>
      <c r="AH1" s="4"/>
      <c r="AI1" s="5" t="s">
        <v>9</v>
      </c>
      <c r="AJ1" s="5" t="s">
        <v>17</v>
      </c>
      <c r="AK1" s="5" t="s">
        <v>18</v>
      </c>
      <c r="AL1" s="5" t="s">
        <v>19</v>
      </c>
    </row>
    <row r="2" spans="1:38" x14ac:dyDescent="0.25">
      <c r="A2" s="4"/>
      <c r="B2" s="5" t="s">
        <v>1</v>
      </c>
      <c r="C2" s="5" t="s">
        <v>2</v>
      </c>
      <c r="D2" s="5"/>
      <c r="E2" s="5" t="s">
        <v>1</v>
      </c>
      <c r="F2" s="5" t="s">
        <v>2</v>
      </c>
      <c r="G2" s="5"/>
      <c r="H2" s="5" t="s">
        <v>1</v>
      </c>
      <c r="I2" s="5" t="s">
        <v>2</v>
      </c>
      <c r="J2" s="5"/>
      <c r="K2" s="5" t="s">
        <v>1</v>
      </c>
      <c r="L2" s="5" t="s">
        <v>2</v>
      </c>
      <c r="M2" s="5"/>
      <c r="N2" s="5" t="s">
        <v>1</v>
      </c>
      <c r="O2" s="5" t="s">
        <v>2</v>
      </c>
      <c r="P2" s="5"/>
      <c r="Q2" s="5" t="s">
        <v>1</v>
      </c>
      <c r="R2" s="5" t="s">
        <v>2</v>
      </c>
      <c r="S2" s="5"/>
      <c r="T2" s="5" t="s">
        <v>1</v>
      </c>
      <c r="U2" s="5" t="s">
        <v>2</v>
      </c>
      <c r="V2" s="5"/>
      <c r="W2" s="5" t="s">
        <v>1</v>
      </c>
      <c r="X2" s="5" t="s">
        <v>2</v>
      </c>
      <c r="Y2" s="5"/>
      <c r="Z2" s="5" t="s">
        <v>1</v>
      </c>
      <c r="AA2" s="5" t="s">
        <v>2</v>
      </c>
      <c r="AB2" s="5"/>
      <c r="AC2" s="5" t="s">
        <v>1</v>
      </c>
      <c r="AD2" s="5" t="s">
        <v>2</v>
      </c>
      <c r="AE2" s="5"/>
      <c r="AF2" s="5" t="s">
        <v>1</v>
      </c>
      <c r="AG2" s="5" t="s">
        <v>2</v>
      </c>
      <c r="AH2" s="5"/>
      <c r="AI2" s="6"/>
      <c r="AJ2" s="6"/>
      <c r="AK2" s="6"/>
      <c r="AL2" s="6"/>
    </row>
    <row r="3" spans="1:38" x14ac:dyDescent="0.25">
      <c r="A3" s="5">
        <v>1</v>
      </c>
      <c r="B3" s="6">
        <v>60.7</v>
      </c>
      <c r="C3" s="6">
        <v>1</v>
      </c>
      <c r="D3" s="7">
        <f>B3*C3</f>
        <v>60.7</v>
      </c>
      <c r="E3" s="6">
        <v>60</v>
      </c>
      <c r="F3" s="6">
        <v>1</v>
      </c>
      <c r="G3" s="7">
        <f>E3*F3</f>
        <v>60</v>
      </c>
      <c r="H3" s="6">
        <v>60.5</v>
      </c>
      <c r="I3" s="6">
        <v>1</v>
      </c>
      <c r="J3" s="7">
        <f>H3*I3</f>
        <v>60.5</v>
      </c>
      <c r="K3" s="6">
        <v>58</v>
      </c>
      <c r="L3" s="6">
        <v>1</v>
      </c>
      <c r="M3" s="7">
        <f>K3*L3</f>
        <v>58</v>
      </c>
      <c r="N3" s="6">
        <v>46</v>
      </c>
      <c r="O3" s="6">
        <v>1</v>
      </c>
      <c r="P3" s="7">
        <f>N3*O3</f>
        <v>46</v>
      </c>
      <c r="Q3" s="6">
        <v>0</v>
      </c>
      <c r="R3" s="6">
        <v>1</v>
      </c>
      <c r="S3" s="7">
        <f>Q3*R3</f>
        <v>0</v>
      </c>
      <c r="T3" s="6">
        <v>0</v>
      </c>
      <c r="U3" s="6">
        <v>1</v>
      </c>
      <c r="V3" s="7">
        <f>T3*U3</f>
        <v>0</v>
      </c>
      <c r="W3" s="6">
        <v>1</v>
      </c>
      <c r="X3" s="6">
        <v>1</v>
      </c>
      <c r="Y3" s="7">
        <f>W3*X3</f>
        <v>1</v>
      </c>
      <c r="Z3" s="6">
        <v>3.3000000000000002E-2</v>
      </c>
      <c r="AA3" s="6">
        <v>1</v>
      </c>
      <c r="AB3" s="7">
        <f>Z3*AA3</f>
        <v>3.3000000000000002E-2</v>
      </c>
      <c r="AC3" s="6">
        <v>2.5000000000000001E-2</v>
      </c>
      <c r="AD3" s="6">
        <v>1</v>
      </c>
      <c r="AE3" s="7">
        <f>AC3*AD3</f>
        <v>2.5000000000000001E-2</v>
      </c>
      <c r="AF3" s="6">
        <v>3.5999999999999997E-2</v>
      </c>
      <c r="AG3" s="6">
        <v>1</v>
      </c>
      <c r="AH3" s="7">
        <f>AF3*AG3</f>
        <v>3.5999999999999997E-2</v>
      </c>
      <c r="AI3" s="8">
        <f>(D3+G3+J3)/3</f>
        <v>60.4</v>
      </c>
      <c r="AJ3" s="8">
        <f>(AB3+AE3+AH3)/3</f>
        <v>3.1333333333333331E-2</v>
      </c>
      <c r="AK3" s="8">
        <f>(S3+V3+Y3)</f>
        <v>1</v>
      </c>
      <c r="AL3" s="8">
        <f>M3/P3</f>
        <v>1.2608695652173914</v>
      </c>
    </row>
    <row r="4" spans="1:38" x14ac:dyDescent="0.25">
      <c r="A4" s="5">
        <v>2</v>
      </c>
      <c r="B4" s="6">
        <v>89</v>
      </c>
      <c r="C4" s="6">
        <v>1</v>
      </c>
      <c r="D4" s="7">
        <f t="shared" ref="D4:D10" si="0">B4*C4</f>
        <v>89</v>
      </c>
      <c r="E4" s="6">
        <v>88.4</v>
      </c>
      <c r="F4" s="6">
        <v>1</v>
      </c>
      <c r="G4" s="7">
        <f t="shared" ref="G4:G10" si="1">E4*F4</f>
        <v>88.4</v>
      </c>
      <c r="H4" s="6">
        <v>88.8</v>
      </c>
      <c r="I4" s="6">
        <v>1</v>
      </c>
      <c r="J4" s="7">
        <f t="shared" ref="J4:J10" si="2">H4*I4</f>
        <v>88.8</v>
      </c>
      <c r="K4" s="6">
        <v>86</v>
      </c>
      <c r="L4" s="6">
        <v>1</v>
      </c>
      <c r="M4" s="7">
        <f t="shared" ref="M4:M10" si="3">K4*L4</f>
        <v>86</v>
      </c>
      <c r="N4" s="6">
        <v>69</v>
      </c>
      <c r="O4" s="6">
        <v>1</v>
      </c>
      <c r="P4" s="7">
        <f t="shared" ref="P4:P10" si="4">N4*O4</f>
        <v>69</v>
      </c>
      <c r="Q4" s="6">
        <v>1</v>
      </c>
      <c r="R4" s="6">
        <v>1</v>
      </c>
      <c r="S4" s="7">
        <f t="shared" ref="S4:S10" si="5">Q4*R4</f>
        <v>1</v>
      </c>
      <c r="T4" s="6">
        <v>1</v>
      </c>
      <c r="U4" s="6">
        <v>1</v>
      </c>
      <c r="V4" s="7">
        <f t="shared" ref="V4:V10" si="6">T4*U4</f>
        <v>1</v>
      </c>
      <c r="W4" s="6">
        <v>3</v>
      </c>
      <c r="X4" s="6">
        <v>1</v>
      </c>
      <c r="Y4" s="7">
        <f t="shared" ref="Y4:Y10" si="7">W4*X4</f>
        <v>3</v>
      </c>
      <c r="Z4" s="6">
        <v>4.3999999999999997E-2</v>
      </c>
      <c r="AA4" s="6">
        <v>1</v>
      </c>
      <c r="AB4" s="7">
        <f t="shared" ref="AB4:AB10" si="8">Z4*AA4</f>
        <v>4.3999999999999997E-2</v>
      </c>
      <c r="AC4" s="6">
        <v>3.5000000000000003E-2</v>
      </c>
      <c r="AD4" s="6">
        <v>1</v>
      </c>
      <c r="AE4" s="7">
        <f t="shared" ref="AE4:AE10" si="9">AC4*AD4</f>
        <v>3.5000000000000003E-2</v>
      </c>
      <c r="AF4" s="6">
        <v>4.8000000000000001E-2</v>
      </c>
      <c r="AG4" s="6">
        <v>1</v>
      </c>
      <c r="AH4" s="7">
        <f t="shared" ref="AH4:AH10" si="10">AF4*AG4</f>
        <v>4.8000000000000001E-2</v>
      </c>
      <c r="AI4" s="8">
        <f t="shared" ref="AI4:AI10" si="11">(D4+G4+J4)/3</f>
        <v>88.733333333333334</v>
      </c>
      <c r="AJ4" s="8">
        <f t="shared" ref="AJ4:AJ10" si="12">(AB4+AE4+AH4)/3</f>
        <v>4.2333333333333334E-2</v>
      </c>
      <c r="AK4" s="8">
        <f t="shared" ref="AK4:AK10" si="13">(S4+V4+Y4)</f>
        <v>5</v>
      </c>
      <c r="AL4" s="8">
        <f t="shared" ref="AL4:AL10" si="14">M4/P4</f>
        <v>1.2463768115942029</v>
      </c>
    </row>
    <row r="5" spans="1:38" x14ac:dyDescent="0.25">
      <c r="A5" s="5">
        <v>3</v>
      </c>
      <c r="B5" s="6">
        <v>118</v>
      </c>
      <c r="C5" s="6">
        <v>1</v>
      </c>
      <c r="D5" s="7">
        <f t="shared" si="0"/>
        <v>118</v>
      </c>
      <c r="E5" s="6">
        <v>117.4</v>
      </c>
      <c r="F5" s="6">
        <v>1</v>
      </c>
      <c r="G5" s="7">
        <f t="shared" si="1"/>
        <v>117.4</v>
      </c>
      <c r="H5" s="6">
        <v>118</v>
      </c>
      <c r="I5" s="6">
        <v>1</v>
      </c>
      <c r="J5" s="7">
        <f t="shared" si="2"/>
        <v>118</v>
      </c>
      <c r="K5" s="6">
        <v>115</v>
      </c>
      <c r="L5" s="6">
        <v>1</v>
      </c>
      <c r="M5" s="7">
        <f t="shared" si="3"/>
        <v>115</v>
      </c>
      <c r="N5" s="6">
        <v>92</v>
      </c>
      <c r="O5" s="6">
        <v>1</v>
      </c>
      <c r="P5" s="7">
        <f t="shared" si="4"/>
        <v>92</v>
      </c>
      <c r="Q5" s="6">
        <v>3</v>
      </c>
      <c r="R5" s="6">
        <v>1</v>
      </c>
      <c r="S5" s="7">
        <f t="shared" si="5"/>
        <v>3</v>
      </c>
      <c r="T5" s="6">
        <v>3</v>
      </c>
      <c r="U5" s="6">
        <v>1</v>
      </c>
      <c r="V5" s="7">
        <f t="shared" si="6"/>
        <v>3</v>
      </c>
      <c r="W5" s="6">
        <v>5</v>
      </c>
      <c r="X5" s="6">
        <v>1</v>
      </c>
      <c r="Y5" s="7">
        <f t="shared" si="7"/>
        <v>5</v>
      </c>
      <c r="Z5" s="6">
        <v>0.06</v>
      </c>
      <c r="AA5" s="6">
        <v>1</v>
      </c>
      <c r="AB5" s="7">
        <f t="shared" si="8"/>
        <v>0.06</v>
      </c>
      <c r="AC5" s="6">
        <v>4.4999999999999998E-2</v>
      </c>
      <c r="AD5" s="6">
        <v>1</v>
      </c>
      <c r="AE5" s="7">
        <f t="shared" si="9"/>
        <v>4.4999999999999998E-2</v>
      </c>
      <c r="AF5" s="6">
        <v>6.4000000000000001E-2</v>
      </c>
      <c r="AG5" s="6">
        <v>1</v>
      </c>
      <c r="AH5" s="7">
        <f t="shared" si="10"/>
        <v>6.4000000000000001E-2</v>
      </c>
      <c r="AI5" s="8">
        <f t="shared" si="11"/>
        <v>117.8</v>
      </c>
      <c r="AJ5" s="8">
        <f t="shared" si="12"/>
        <v>5.6333333333333326E-2</v>
      </c>
      <c r="AK5" s="8">
        <f t="shared" si="13"/>
        <v>11</v>
      </c>
      <c r="AL5" s="8">
        <f t="shared" si="14"/>
        <v>1.25</v>
      </c>
    </row>
    <row r="6" spans="1:38" x14ac:dyDescent="0.25">
      <c r="A6" s="5">
        <v>4</v>
      </c>
      <c r="B6" s="6">
        <v>146.6</v>
      </c>
      <c r="C6" s="6">
        <v>1</v>
      </c>
      <c r="D6" s="7">
        <f t="shared" si="0"/>
        <v>146.6</v>
      </c>
      <c r="E6" s="6">
        <v>146</v>
      </c>
      <c r="F6" s="6">
        <v>1</v>
      </c>
      <c r="G6" s="7">
        <f t="shared" si="1"/>
        <v>146</v>
      </c>
      <c r="H6" s="6">
        <v>146</v>
      </c>
      <c r="I6" s="6">
        <v>1</v>
      </c>
      <c r="J6" s="7">
        <f t="shared" si="2"/>
        <v>146</v>
      </c>
      <c r="K6" s="6">
        <v>143</v>
      </c>
      <c r="L6" s="6">
        <v>1</v>
      </c>
      <c r="M6" s="7">
        <f t="shared" si="3"/>
        <v>143</v>
      </c>
      <c r="N6" s="6">
        <v>115</v>
      </c>
      <c r="O6" s="6">
        <v>1</v>
      </c>
      <c r="P6" s="7">
        <f t="shared" si="4"/>
        <v>115</v>
      </c>
      <c r="Q6" s="6">
        <v>5</v>
      </c>
      <c r="R6" s="6">
        <v>1</v>
      </c>
      <c r="S6" s="7">
        <f t="shared" si="5"/>
        <v>5</v>
      </c>
      <c r="T6" s="6">
        <v>5</v>
      </c>
      <c r="U6" s="6">
        <v>1</v>
      </c>
      <c r="V6" s="7">
        <f t="shared" si="6"/>
        <v>5</v>
      </c>
      <c r="W6" s="6">
        <v>9</v>
      </c>
      <c r="X6" s="6">
        <v>1</v>
      </c>
      <c r="Y6" s="7">
        <f t="shared" si="7"/>
        <v>9</v>
      </c>
      <c r="Z6" s="6">
        <v>7.8E-2</v>
      </c>
      <c r="AA6" s="6">
        <v>1</v>
      </c>
      <c r="AB6" s="7">
        <f t="shared" si="8"/>
        <v>7.8E-2</v>
      </c>
      <c r="AC6" s="6">
        <v>5.7000000000000002E-2</v>
      </c>
      <c r="AD6" s="6">
        <v>1</v>
      </c>
      <c r="AE6" s="7">
        <f t="shared" si="9"/>
        <v>5.7000000000000002E-2</v>
      </c>
      <c r="AF6" s="6">
        <v>8.4000000000000005E-2</v>
      </c>
      <c r="AG6" s="6">
        <v>1</v>
      </c>
      <c r="AH6" s="7">
        <f t="shared" si="10"/>
        <v>8.4000000000000005E-2</v>
      </c>
      <c r="AI6" s="8">
        <f t="shared" si="11"/>
        <v>146.20000000000002</v>
      </c>
      <c r="AJ6" s="8">
        <f t="shared" si="12"/>
        <v>7.3000000000000009E-2</v>
      </c>
      <c r="AK6" s="8">
        <f t="shared" si="13"/>
        <v>19</v>
      </c>
      <c r="AL6" s="8">
        <f t="shared" si="14"/>
        <v>1.2434782608695651</v>
      </c>
    </row>
    <row r="7" spans="1:38" x14ac:dyDescent="0.25">
      <c r="A7" s="5">
        <v>5</v>
      </c>
      <c r="B7" s="6">
        <v>174.9</v>
      </c>
      <c r="C7" s="6">
        <v>1</v>
      </c>
      <c r="D7" s="7">
        <f t="shared" si="0"/>
        <v>174.9</v>
      </c>
      <c r="E7" s="6">
        <v>174.4</v>
      </c>
      <c r="F7" s="6">
        <v>1</v>
      </c>
      <c r="G7" s="7">
        <f t="shared" si="1"/>
        <v>174.4</v>
      </c>
      <c r="H7" s="6">
        <v>174.7</v>
      </c>
      <c r="I7" s="6">
        <v>1</v>
      </c>
      <c r="J7" s="7">
        <f t="shared" si="2"/>
        <v>174.7</v>
      </c>
      <c r="K7" s="6">
        <v>172</v>
      </c>
      <c r="L7" s="6">
        <v>1</v>
      </c>
      <c r="M7" s="7">
        <f t="shared" si="3"/>
        <v>172</v>
      </c>
      <c r="N7" s="6">
        <v>137</v>
      </c>
      <c r="O7" s="6">
        <v>1</v>
      </c>
      <c r="P7" s="7">
        <f t="shared" si="4"/>
        <v>137</v>
      </c>
      <c r="Q7" s="6">
        <v>6</v>
      </c>
      <c r="R7" s="6">
        <v>1</v>
      </c>
      <c r="S7" s="7">
        <f t="shared" si="5"/>
        <v>6</v>
      </c>
      <c r="T7" s="6">
        <v>8</v>
      </c>
      <c r="U7" s="6">
        <v>1</v>
      </c>
      <c r="V7" s="7">
        <f t="shared" si="6"/>
        <v>8</v>
      </c>
      <c r="W7" s="6">
        <v>13</v>
      </c>
      <c r="X7" s="6">
        <v>1</v>
      </c>
      <c r="Y7" s="7">
        <f t="shared" si="7"/>
        <v>13</v>
      </c>
      <c r="Z7" s="6">
        <v>0.10199999999999999</v>
      </c>
      <c r="AA7" s="6">
        <v>1</v>
      </c>
      <c r="AB7" s="7">
        <f t="shared" si="8"/>
        <v>0.10199999999999999</v>
      </c>
      <c r="AC7" s="6">
        <v>7.6999999999999999E-2</v>
      </c>
      <c r="AD7" s="6">
        <v>1</v>
      </c>
      <c r="AE7" s="7">
        <f t="shared" si="9"/>
        <v>7.6999999999999999E-2</v>
      </c>
      <c r="AF7" s="6">
        <v>0.11600000000000001</v>
      </c>
      <c r="AG7" s="6">
        <v>1</v>
      </c>
      <c r="AH7" s="7">
        <f t="shared" si="10"/>
        <v>0.11600000000000001</v>
      </c>
      <c r="AI7" s="8">
        <f t="shared" si="11"/>
        <v>174.66666666666666</v>
      </c>
      <c r="AJ7" s="8">
        <f t="shared" si="12"/>
        <v>9.8333333333333328E-2</v>
      </c>
      <c r="AK7" s="8">
        <f t="shared" si="13"/>
        <v>27</v>
      </c>
      <c r="AL7" s="8">
        <f t="shared" si="14"/>
        <v>1.2554744525547445</v>
      </c>
    </row>
    <row r="8" spans="1:38" x14ac:dyDescent="0.25">
      <c r="A8" s="5">
        <v>6</v>
      </c>
      <c r="B8" s="6">
        <v>205.3</v>
      </c>
      <c r="C8" s="6">
        <v>1</v>
      </c>
      <c r="D8" s="7">
        <f t="shared" si="0"/>
        <v>205.3</v>
      </c>
      <c r="E8" s="6">
        <v>204.8</v>
      </c>
      <c r="F8" s="6">
        <v>1</v>
      </c>
      <c r="G8" s="7">
        <f t="shared" si="1"/>
        <v>204.8</v>
      </c>
      <c r="H8" s="6">
        <v>204.7</v>
      </c>
      <c r="I8" s="6">
        <v>1</v>
      </c>
      <c r="J8" s="7">
        <f t="shared" si="2"/>
        <v>204.7</v>
      </c>
      <c r="K8" s="6">
        <v>202</v>
      </c>
      <c r="L8" s="6">
        <v>1</v>
      </c>
      <c r="M8" s="7">
        <f t="shared" si="3"/>
        <v>202</v>
      </c>
      <c r="N8" s="6">
        <v>162</v>
      </c>
      <c r="O8" s="6">
        <v>1</v>
      </c>
      <c r="P8" s="7">
        <f t="shared" si="4"/>
        <v>162</v>
      </c>
      <c r="Q8" s="6">
        <v>6</v>
      </c>
      <c r="R8" s="6">
        <v>1</v>
      </c>
      <c r="S8" s="7">
        <f t="shared" si="5"/>
        <v>6</v>
      </c>
      <c r="T8" s="6">
        <v>13</v>
      </c>
      <c r="U8" s="6">
        <v>1</v>
      </c>
      <c r="V8" s="7">
        <f t="shared" si="6"/>
        <v>13</v>
      </c>
      <c r="W8" s="6">
        <v>20</v>
      </c>
      <c r="X8" s="6">
        <v>1</v>
      </c>
      <c r="Y8" s="7">
        <f t="shared" si="7"/>
        <v>20</v>
      </c>
      <c r="Z8" s="6">
        <v>0.14499999999999999</v>
      </c>
      <c r="AA8" s="6">
        <v>1</v>
      </c>
      <c r="AB8" s="7">
        <f t="shared" si="8"/>
        <v>0.14499999999999999</v>
      </c>
      <c r="AC8" s="6">
        <v>0.113</v>
      </c>
      <c r="AD8" s="6">
        <v>1</v>
      </c>
      <c r="AE8" s="7">
        <f t="shared" si="9"/>
        <v>0.113</v>
      </c>
      <c r="AF8" s="6">
        <v>0.17399999999999999</v>
      </c>
      <c r="AG8" s="6">
        <v>1</v>
      </c>
      <c r="AH8" s="7">
        <f t="shared" si="10"/>
        <v>0.17399999999999999</v>
      </c>
      <c r="AI8" s="8">
        <f t="shared" si="11"/>
        <v>204.93333333333331</v>
      </c>
      <c r="AJ8" s="8">
        <f t="shared" si="12"/>
        <v>0.14399999999999999</v>
      </c>
      <c r="AK8" s="8">
        <f t="shared" si="13"/>
        <v>39</v>
      </c>
      <c r="AL8" s="8">
        <f t="shared" si="14"/>
        <v>1.2469135802469136</v>
      </c>
    </row>
    <row r="9" spans="1:38" x14ac:dyDescent="0.25">
      <c r="A9" s="5">
        <v>7</v>
      </c>
      <c r="B9" s="6">
        <v>234.4</v>
      </c>
      <c r="C9" s="6">
        <v>1</v>
      </c>
      <c r="D9" s="7">
        <f t="shared" si="0"/>
        <v>234.4</v>
      </c>
      <c r="E9" s="6">
        <v>233.5</v>
      </c>
      <c r="F9" s="6">
        <v>1</v>
      </c>
      <c r="G9" s="7">
        <f t="shared" si="1"/>
        <v>233.5</v>
      </c>
      <c r="H9" s="6">
        <v>233.7</v>
      </c>
      <c r="I9" s="6">
        <v>1</v>
      </c>
      <c r="J9" s="7">
        <f t="shared" si="2"/>
        <v>233.7</v>
      </c>
      <c r="K9" s="6">
        <v>231</v>
      </c>
      <c r="L9" s="6">
        <v>1</v>
      </c>
      <c r="M9" s="7">
        <f t="shared" si="3"/>
        <v>231</v>
      </c>
      <c r="N9" s="6">
        <v>185</v>
      </c>
      <c r="O9" s="6">
        <v>1</v>
      </c>
      <c r="P9" s="7">
        <f t="shared" si="4"/>
        <v>185</v>
      </c>
      <c r="Q9" s="6">
        <v>6</v>
      </c>
      <c r="R9" s="6">
        <v>1</v>
      </c>
      <c r="S9" s="7">
        <f t="shared" si="5"/>
        <v>6</v>
      </c>
      <c r="T9" s="6">
        <v>20</v>
      </c>
      <c r="U9" s="6">
        <v>1</v>
      </c>
      <c r="V9" s="7">
        <f t="shared" si="6"/>
        <v>20</v>
      </c>
      <c r="W9" s="6">
        <v>28</v>
      </c>
      <c r="X9" s="6">
        <v>1</v>
      </c>
      <c r="Y9" s="7">
        <f t="shared" si="7"/>
        <v>28</v>
      </c>
      <c r="Z9" s="6">
        <v>0.219</v>
      </c>
      <c r="AA9" s="6">
        <v>1</v>
      </c>
      <c r="AB9" s="7">
        <f t="shared" si="8"/>
        <v>0.219</v>
      </c>
      <c r="AC9" s="6">
        <v>0.17299999999999999</v>
      </c>
      <c r="AD9" s="6">
        <v>1</v>
      </c>
      <c r="AE9" s="7">
        <f t="shared" si="9"/>
        <v>0.17299999999999999</v>
      </c>
      <c r="AF9" s="6">
        <v>0.26600000000000001</v>
      </c>
      <c r="AG9" s="6">
        <v>1</v>
      </c>
      <c r="AH9" s="7">
        <f t="shared" si="10"/>
        <v>0.26600000000000001</v>
      </c>
      <c r="AI9" s="8">
        <f t="shared" si="11"/>
        <v>233.86666666666665</v>
      </c>
      <c r="AJ9" s="8">
        <f t="shared" si="12"/>
        <v>0.21933333333333335</v>
      </c>
      <c r="AK9" s="8">
        <f t="shared" si="13"/>
        <v>54</v>
      </c>
      <c r="AL9" s="8">
        <f t="shared" si="14"/>
        <v>1.2486486486486486</v>
      </c>
    </row>
    <row r="10" spans="1:38" x14ac:dyDescent="0.25">
      <c r="A10" s="5">
        <v>8</v>
      </c>
      <c r="B10" s="6">
        <v>264.2</v>
      </c>
      <c r="C10" s="6">
        <v>1</v>
      </c>
      <c r="D10" s="7">
        <f t="shared" si="0"/>
        <v>264.2</v>
      </c>
      <c r="E10" s="6">
        <v>263.2</v>
      </c>
      <c r="F10" s="6">
        <v>1</v>
      </c>
      <c r="G10" s="7">
        <f t="shared" si="1"/>
        <v>263.2</v>
      </c>
      <c r="H10" s="6">
        <v>263.7</v>
      </c>
      <c r="I10" s="6">
        <v>1</v>
      </c>
      <c r="J10" s="7">
        <f t="shared" si="2"/>
        <v>263.7</v>
      </c>
      <c r="K10" s="6">
        <v>260</v>
      </c>
      <c r="L10" s="6">
        <v>1</v>
      </c>
      <c r="M10" s="7">
        <f t="shared" si="3"/>
        <v>260</v>
      </c>
      <c r="N10" s="6">
        <v>208</v>
      </c>
      <c r="O10" s="6">
        <v>1</v>
      </c>
      <c r="P10" s="7">
        <f t="shared" si="4"/>
        <v>208</v>
      </c>
      <c r="Q10" s="6">
        <v>5</v>
      </c>
      <c r="R10" s="6">
        <v>1</v>
      </c>
      <c r="S10" s="7">
        <f t="shared" si="5"/>
        <v>5</v>
      </c>
      <c r="T10" s="6">
        <v>30</v>
      </c>
      <c r="U10" s="6">
        <v>1</v>
      </c>
      <c r="V10" s="7">
        <f t="shared" si="6"/>
        <v>30</v>
      </c>
      <c r="W10" s="6">
        <v>40</v>
      </c>
      <c r="X10" s="6">
        <v>1</v>
      </c>
      <c r="Y10" s="7">
        <f t="shared" si="7"/>
        <v>40</v>
      </c>
      <c r="Z10" s="6">
        <v>0.34799999999999998</v>
      </c>
      <c r="AA10" s="6">
        <v>1</v>
      </c>
      <c r="AB10" s="7">
        <f t="shared" si="8"/>
        <v>0.34799999999999998</v>
      </c>
      <c r="AC10" s="6">
        <v>0.28199999999999997</v>
      </c>
      <c r="AD10" s="6">
        <v>1</v>
      </c>
      <c r="AE10" s="7">
        <f t="shared" si="9"/>
        <v>0.28199999999999997</v>
      </c>
      <c r="AF10" s="6">
        <v>0.42</v>
      </c>
      <c r="AG10" s="6">
        <v>1</v>
      </c>
      <c r="AH10" s="7">
        <f t="shared" si="10"/>
        <v>0.42</v>
      </c>
      <c r="AI10" s="8">
        <f t="shared" si="11"/>
        <v>263.7</v>
      </c>
      <c r="AJ10" s="8">
        <f t="shared" si="12"/>
        <v>0.34999999999999992</v>
      </c>
      <c r="AK10" s="8">
        <f t="shared" si="13"/>
        <v>75</v>
      </c>
      <c r="AL10" s="8">
        <f t="shared" si="14"/>
        <v>1.25</v>
      </c>
    </row>
    <row r="12" spans="1:38" x14ac:dyDescent="0.25">
      <c r="A12" s="2" t="s">
        <v>3</v>
      </c>
      <c r="B12" s="2">
        <v>2.472</v>
      </c>
      <c r="C12" s="3" t="s">
        <v>5</v>
      </c>
      <c r="D12" s="2" t="s">
        <v>4</v>
      </c>
      <c r="E12" s="2">
        <v>9.9499999999999993</v>
      </c>
      <c r="F12" s="2" t="s">
        <v>5</v>
      </c>
    </row>
  </sheetData>
  <mergeCells count="12">
    <mergeCell ref="AF1:AH1"/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 мјерења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2021-06-05T19:59:34Z</dcterms:created>
  <dcterms:modified xsi:type="dcterms:W3CDTF">2021-06-05T20:20:00Z</dcterms:modified>
</cp:coreProperties>
</file>