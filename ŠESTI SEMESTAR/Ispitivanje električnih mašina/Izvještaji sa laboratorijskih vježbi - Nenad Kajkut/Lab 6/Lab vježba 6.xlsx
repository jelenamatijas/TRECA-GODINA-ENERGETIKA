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22995" windowHeight="10050"/>
  </bookViews>
  <sheets>
    <sheet name="Празан ход" sheetId="1" r:id="rId1"/>
    <sheet name="Кратак спој" sheetId="2" r:id="rId2"/>
  </sheets>
  <calcPr calcId="144525"/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3" i="1"/>
  <c r="X4" i="1"/>
  <c r="X5" i="1"/>
  <c r="X6" i="1"/>
  <c r="X7" i="1"/>
  <c r="X8" i="1"/>
  <c r="X9" i="1"/>
  <c r="X10" i="1"/>
  <c r="X11" i="1"/>
  <c r="X12" i="1"/>
  <c r="X13" i="1"/>
  <c r="X3" i="1"/>
  <c r="W4" i="1"/>
  <c r="W5" i="1"/>
  <c r="W6" i="1"/>
  <c r="W7" i="1"/>
  <c r="W8" i="1"/>
  <c r="W9" i="1"/>
  <c r="W10" i="1"/>
  <c r="W11" i="1"/>
  <c r="W12" i="1"/>
  <c r="W13" i="1"/>
  <c r="W3" i="1"/>
  <c r="V4" i="1"/>
  <c r="V5" i="1"/>
  <c r="V6" i="1"/>
  <c r="V7" i="1"/>
  <c r="V8" i="1"/>
  <c r="V9" i="1"/>
  <c r="V10" i="1"/>
  <c r="V11" i="1"/>
  <c r="V12" i="1"/>
  <c r="V13" i="1"/>
  <c r="V3" i="1"/>
  <c r="U4" i="1"/>
  <c r="U5" i="1"/>
  <c r="U6" i="1"/>
  <c r="U7" i="1"/>
  <c r="U8" i="1"/>
  <c r="U9" i="1"/>
  <c r="U10" i="1"/>
  <c r="U11" i="1"/>
  <c r="U12" i="1"/>
  <c r="U13" i="1"/>
  <c r="U3" i="1"/>
  <c r="T4" i="1"/>
  <c r="T5" i="1"/>
  <c r="T6" i="1"/>
  <c r="T7" i="1"/>
  <c r="T8" i="1"/>
  <c r="T9" i="1"/>
  <c r="T10" i="1"/>
  <c r="T11" i="1"/>
  <c r="T12" i="1"/>
  <c r="T13" i="1"/>
  <c r="T3" i="1"/>
  <c r="S4" i="1"/>
  <c r="S5" i="1"/>
  <c r="S6" i="1"/>
  <c r="S7" i="1"/>
  <c r="S8" i="1"/>
  <c r="S9" i="1"/>
  <c r="S10" i="1"/>
  <c r="S11" i="1"/>
  <c r="S12" i="1"/>
  <c r="S13" i="1"/>
  <c r="S3" i="1"/>
  <c r="P4" i="1"/>
  <c r="P5" i="1"/>
  <c r="P6" i="1"/>
  <c r="P7" i="1"/>
  <c r="P8" i="1"/>
  <c r="P9" i="1"/>
  <c r="P10" i="1"/>
  <c r="P11" i="1"/>
  <c r="P12" i="1"/>
  <c r="P13" i="1"/>
  <c r="P3" i="1"/>
  <c r="M4" i="1"/>
  <c r="M5" i="1"/>
  <c r="M6" i="1"/>
  <c r="M7" i="1"/>
  <c r="M8" i="1"/>
  <c r="M9" i="1"/>
  <c r="M10" i="1"/>
  <c r="M11" i="1"/>
  <c r="M12" i="1"/>
  <c r="M13" i="1"/>
  <c r="M3" i="1"/>
  <c r="J4" i="1"/>
  <c r="J5" i="1"/>
  <c r="J6" i="1"/>
  <c r="J7" i="1"/>
  <c r="J8" i="1"/>
  <c r="J9" i="1"/>
  <c r="J10" i="1"/>
  <c r="J11" i="1"/>
  <c r="J12" i="1"/>
  <c r="J13" i="1"/>
  <c r="J3" i="1"/>
  <c r="G4" i="1"/>
  <c r="G5" i="1"/>
  <c r="G6" i="1"/>
  <c r="G7" i="1"/>
  <c r="G8" i="1"/>
  <c r="G9" i="1"/>
  <c r="G10" i="1"/>
  <c r="G11" i="1"/>
  <c r="G12" i="1"/>
  <c r="G13" i="1"/>
  <c r="G3" i="1"/>
  <c r="D4" i="1"/>
  <c r="D5" i="1"/>
  <c r="D6" i="1"/>
  <c r="D7" i="1"/>
  <c r="D8" i="1"/>
  <c r="D9" i="1"/>
  <c r="D10" i="1"/>
  <c r="D11" i="1"/>
  <c r="D12" i="1"/>
  <c r="D13" i="1"/>
  <c r="D3" i="1"/>
  <c r="V4" i="2"/>
  <c r="V5" i="2"/>
  <c r="V6" i="2"/>
  <c r="V7" i="2"/>
  <c r="V8" i="2"/>
  <c r="V3" i="2"/>
  <c r="U4" i="2"/>
  <c r="U5" i="2"/>
  <c r="U6" i="2"/>
  <c r="U7" i="2"/>
  <c r="U8" i="2"/>
  <c r="U3" i="2"/>
  <c r="T4" i="2"/>
  <c r="T5" i="2"/>
  <c r="T6" i="2"/>
  <c r="T7" i="2"/>
  <c r="T8" i="2"/>
  <c r="T3" i="2"/>
  <c r="S4" i="2"/>
  <c r="S5" i="2"/>
  <c r="S6" i="2"/>
  <c r="S7" i="2"/>
  <c r="S8" i="2"/>
  <c r="S3" i="2"/>
  <c r="P4" i="2"/>
  <c r="P5" i="2"/>
  <c r="P6" i="2"/>
  <c r="P7" i="2"/>
  <c r="P8" i="2"/>
  <c r="P3" i="2"/>
  <c r="M4" i="2"/>
  <c r="M5" i="2"/>
  <c r="M6" i="2"/>
  <c r="M7" i="2"/>
  <c r="M8" i="2"/>
  <c r="M3" i="2"/>
  <c r="J4" i="2"/>
  <c r="J5" i="2"/>
  <c r="J6" i="2"/>
  <c r="J7" i="2"/>
  <c r="J8" i="2"/>
  <c r="J3" i="2"/>
  <c r="G4" i="2"/>
  <c r="G5" i="2"/>
  <c r="G6" i="2"/>
  <c r="G7" i="2"/>
  <c r="G8" i="2"/>
  <c r="G3" i="2"/>
  <c r="D4" i="2"/>
  <c r="D5" i="2"/>
  <c r="D6" i="2"/>
  <c r="D7" i="2"/>
  <c r="D8" i="2"/>
  <c r="D3" i="2"/>
</calcChain>
</file>

<file path=xl/sharedStrings.xml><?xml version="1.0" encoding="utf-8"?>
<sst xmlns="http://schemas.openxmlformats.org/spreadsheetml/2006/main" count="49" uniqueCount="27">
  <si>
    <t>RBM</t>
  </si>
  <si>
    <t>α</t>
  </si>
  <si>
    <t>k</t>
  </si>
  <si>
    <t>Uk [V]</t>
  </si>
  <si>
    <t>Ik [A]</t>
  </si>
  <si>
    <t>Pk [W]</t>
  </si>
  <si>
    <t>P2k [W]</t>
  </si>
  <si>
    <t>P1k [W]</t>
  </si>
  <si>
    <t>Ibk [A]</t>
  </si>
  <si>
    <t>Iak [A]</t>
  </si>
  <si>
    <t>Ubck [V]</t>
  </si>
  <si>
    <t>Uabk [V]</t>
  </si>
  <si>
    <t>RMB</t>
  </si>
  <si>
    <t>Uab0 [V]</t>
  </si>
  <si>
    <t>Ubc0 [V]</t>
  </si>
  <si>
    <t>Ia0 [A]</t>
  </si>
  <si>
    <t>Ib0 [A]</t>
  </si>
  <si>
    <t>P10 [W]</t>
  </si>
  <si>
    <t>P20 [W]</t>
  </si>
  <si>
    <t>U0 [V]</t>
  </si>
  <si>
    <t>I0 [A]</t>
  </si>
  <si>
    <t>P0 [W]</t>
  </si>
  <si>
    <t>Rs</t>
  </si>
  <si>
    <t>Ω</t>
  </si>
  <si>
    <t>Pcus0 [W]</t>
  </si>
  <si>
    <t>P0-Pcus0 [W]</t>
  </si>
  <si>
    <t>U0^2 [V^2]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</si>
</sst>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"/>
  <sheetViews>
    <sheetView tabSelected="1" topLeftCell="N1" workbookViewId="0">
      <selection activeCell="K27" sqref="K27"/>
    </sheetView>
  </sheetViews>
  <sheetFormatPr defaultRowHeight="15" x14ac:dyDescent="0.25"/>
  <cols>
    <col min="1" max="1" width="6.28515625" style="7" bestFit="1" customWidth="1"/>
    <col min="2" max="2" width="5" style="7" bestFit="1" customWidth="1"/>
    <col min="3" max="3" width="2.42578125" style="7" bestFit="1" customWidth="1"/>
    <col min="4" max="5" width="4" style="7" bestFit="1" customWidth="1"/>
    <col min="6" max="6" width="2.28515625" style="7" bestFit="1" customWidth="1"/>
    <col min="7" max="7" width="4" style="7" bestFit="1" customWidth="1"/>
    <col min="8" max="8" width="5" style="7" bestFit="1" customWidth="1"/>
    <col min="9" max="9" width="2.28515625" style="7" bestFit="1" customWidth="1"/>
    <col min="10" max="11" width="5" style="7" bestFit="1" customWidth="1"/>
    <col min="12" max="12" width="2.28515625" style="7" bestFit="1" customWidth="1"/>
    <col min="13" max="14" width="5" style="7" bestFit="1" customWidth="1"/>
    <col min="15" max="15" width="3" style="7" bestFit="1" customWidth="1"/>
    <col min="16" max="16" width="4" style="7" bestFit="1" customWidth="1"/>
    <col min="17" max="17" width="5" style="7" bestFit="1" customWidth="1"/>
    <col min="18" max="18" width="3" style="7" bestFit="1" customWidth="1"/>
    <col min="19" max="19" width="4" style="7" bestFit="1" customWidth="1"/>
    <col min="20" max="20" width="7.140625" style="7" bestFit="1" customWidth="1"/>
    <col min="21" max="21" width="6.5703125" style="7" bestFit="1" customWidth="1"/>
    <col min="22" max="22" width="7.42578125" style="7" bestFit="1" customWidth="1"/>
    <col min="23" max="23" width="10.5703125" style="7" bestFit="1" customWidth="1"/>
    <col min="24" max="24" width="13.85546875" style="7" bestFit="1" customWidth="1"/>
    <col min="25" max="25" width="12" style="7" bestFit="1" customWidth="1"/>
    <col min="26" max="16384" width="9.140625" style="7"/>
  </cols>
  <sheetData>
    <row r="1" spans="1:25" x14ac:dyDescent="0.25">
      <c r="A1" s="3" t="s">
        <v>12</v>
      </c>
      <c r="B1" s="3" t="s">
        <v>13</v>
      </c>
      <c r="C1" s="3"/>
      <c r="D1" s="3"/>
      <c r="E1" s="3" t="s">
        <v>14</v>
      </c>
      <c r="F1" s="3"/>
      <c r="G1" s="3"/>
      <c r="H1" s="3" t="s">
        <v>15</v>
      </c>
      <c r="I1" s="3"/>
      <c r="J1" s="3"/>
      <c r="K1" s="3" t="s">
        <v>16</v>
      </c>
      <c r="L1" s="3"/>
      <c r="M1" s="3"/>
      <c r="N1" s="3" t="s">
        <v>17</v>
      </c>
      <c r="O1" s="3"/>
      <c r="P1" s="3"/>
      <c r="Q1" s="3" t="s">
        <v>18</v>
      </c>
      <c r="R1" s="3"/>
      <c r="S1" s="3"/>
      <c r="T1" s="9" t="s">
        <v>19</v>
      </c>
      <c r="U1" s="4" t="s">
        <v>20</v>
      </c>
      <c r="V1" s="4" t="s">
        <v>21</v>
      </c>
      <c r="W1" s="4" t="s">
        <v>24</v>
      </c>
      <c r="X1" s="4" t="s">
        <v>25</v>
      </c>
      <c r="Y1" s="4" t="s">
        <v>26</v>
      </c>
    </row>
    <row r="2" spans="1:25" x14ac:dyDescent="0.25">
      <c r="A2" s="3"/>
      <c r="B2" s="4" t="s">
        <v>1</v>
      </c>
      <c r="C2" s="4" t="s">
        <v>2</v>
      </c>
      <c r="D2" s="4"/>
      <c r="E2" s="4" t="s">
        <v>1</v>
      </c>
      <c r="F2" s="4" t="s">
        <v>2</v>
      </c>
      <c r="G2" s="4"/>
      <c r="H2" s="4" t="s">
        <v>1</v>
      </c>
      <c r="I2" s="4" t="s">
        <v>2</v>
      </c>
      <c r="J2" s="4"/>
      <c r="K2" s="4" t="s">
        <v>1</v>
      </c>
      <c r="L2" s="4" t="s">
        <v>2</v>
      </c>
      <c r="M2" s="4"/>
      <c r="N2" s="4" t="s">
        <v>1</v>
      </c>
      <c r="O2" s="4" t="s">
        <v>2</v>
      </c>
      <c r="P2" s="4"/>
      <c r="Q2" s="4" t="s">
        <v>1</v>
      </c>
      <c r="R2" s="4" t="s">
        <v>2</v>
      </c>
      <c r="S2" s="4"/>
      <c r="T2" s="10"/>
      <c r="U2" s="5"/>
      <c r="V2" s="5"/>
      <c r="W2" s="5"/>
      <c r="X2" s="5"/>
      <c r="Y2" s="5"/>
    </row>
    <row r="3" spans="1:25" x14ac:dyDescent="0.25">
      <c r="A3" s="4">
        <v>1</v>
      </c>
      <c r="B3" s="5">
        <v>400</v>
      </c>
      <c r="C3" s="5">
        <v>1</v>
      </c>
      <c r="D3" s="6">
        <f>B3*C3</f>
        <v>400</v>
      </c>
      <c r="E3" s="5">
        <v>400</v>
      </c>
      <c r="F3" s="5">
        <v>1</v>
      </c>
      <c r="G3" s="6">
        <f>E3*F3</f>
        <v>400</v>
      </c>
      <c r="H3" s="5">
        <v>3.5</v>
      </c>
      <c r="I3" s="5">
        <v>1</v>
      </c>
      <c r="J3" s="6">
        <f>H3*I3</f>
        <v>3.5</v>
      </c>
      <c r="K3" s="5">
        <v>4</v>
      </c>
      <c r="L3" s="5">
        <v>1</v>
      </c>
      <c r="M3" s="6">
        <f>K3*L3</f>
        <v>4</v>
      </c>
      <c r="N3" s="5">
        <v>30</v>
      </c>
      <c r="O3" s="5">
        <v>30</v>
      </c>
      <c r="P3" s="6">
        <f>N3*O3</f>
        <v>900</v>
      </c>
      <c r="Q3" s="5">
        <v>22</v>
      </c>
      <c r="R3" s="5">
        <v>30</v>
      </c>
      <c r="S3" s="6">
        <f>Q3*R3</f>
        <v>660</v>
      </c>
      <c r="T3" s="11">
        <f>(D3+G3)/2</f>
        <v>400</v>
      </c>
      <c r="U3" s="6">
        <f>(J3+M3)/2</f>
        <v>3.75</v>
      </c>
      <c r="V3" s="6">
        <f>P3-S3</f>
        <v>240</v>
      </c>
      <c r="W3" s="12">
        <f>3*(U3^2)*$B$15</f>
        <v>131.203125</v>
      </c>
      <c r="X3" s="12">
        <f>V3-W3</f>
        <v>108.796875</v>
      </c>
      <c r="Y3" s="6">
        <f>T3^2</f>
        <v>160000</v>
      </c>
    </row>
    <row r="4" spans="1:25" x14ac:dyDescent="0.25">
      <c r="A4" s="4">
        <v>2</v>
      </c>
      <c r="B4" s="5">
        <v>380</v>
      </c>
      <c r="C4" s="5">
        <v>1</v>
      </c>
      <c r="D4" s="6">
        <f t="shared" ref="D4:D13" si="0">B4*C4</f>
        <v>380</v>
      </c>
      <c r="E4" s="5">
        <v>380</v>
      </c>
      <c r="F4" s="5">
        <v>1</v>
      </c>
      <c r="G4" s="6">
        <f t="shared" ref="G4:G13" si="1">E4*F4</f>
        <v>380</v>
      </c>
      <c r="H4" s="5">
        <v>3.1</v>
      </c>
      <c r="I4" s="5">
        <v>1</v>
      </c>
      <c r="J4" s="6">
        <f t="shared" ref="J4:J13" si="2">H4*I4</f>
        <v>3.1</v>
      </c>
      <c r="K4" s="5">
        <v>3.5</v>
      </c>
      <c r="L4" s="5">
        <v>1</v>
      </c>
      <c r="M4" s="6">
        <f t="shared" ref="M4:M13" si="3">K4*L4</f>
        <v>3.5</v>
      </c>
      <c r="N4" s="5">
        <v>25</v>
      </c>
      <c r="O4" s="5">
        <v>30</v>
      </c>
      <c r="P4" s="6">
        <f t="shared" ref="P4:P13" si="4">N4*O4</f>
        <v>750</v>
      </c>
      <c r="Q4" s="5">
        <v>18.5</v>
      </c>
      <c r="R4" s="5">
        <v>30</v>
      </c>
      <c r="S4" s="6">
        <f t="shared" ref="S4:S13" si="5">Q4*R4</f>
        <v>555</v>
      </c>
      <c r="T4" s="11">
        <f t="shared" ref="T4:T13" si="6">(D4+G4)/2</f>
        <v>380</v>
      </c>
      <c r="U4" s="6">
        <f t="shared" ref="U4:U13" si="7">(J4+M4)/2</f>
        <v>3.3</v>
      </c>
      <c r="V4" s="6">
        <f t="shared" ref="V4:V13" si="8">P4-S4</f>
        <v>195</v>
      </c>
      <c r="W4" s="12">
        <f t="shared" ref="W4:W13" si="9">3*(U4^2)*$B$15</f>
        <v>101.60369999999998</v>
      </c>
      <c r="X4" s="12">
        <f t="shared" ref="X4:X13" si="10">V4-W4</f>
        <v>93.396300000000025</v>
      </c>
      <c r="Y4" s="6">
        <f t="shared" ref="Y4:Y13" si="11">T4^2</f>
        <v>144400</v>
      </c>
    </row>
    <row r="5" spans="1:25" x14ac:dyDescent="0.25">
      <c r="A5" s="4">
        <v>3</v>
      </c>
      <c r="B5" s="5">
        <v>360</v>
      </c>
      <c r="C5" s="5">
        <v>1</v>
      </c>
      <c r="D5" s="6">
        <f t="shared" si="0"/>
        <v>360</v>
      </c>
      <c r="E5" s="5">
        <v>360</v>
      </c>
      <c r="F5" s="5">
        <v>1</v>
      </c>
      <c r="G5" s="6">
        <f t="shared" si="1"/>
        <v>360</v>
      </c>
      <c r="H5" s="5">
        <v>2.8</v>
      </c>
      <c r="I5" s="5">
        <v>1</v>
      </c>
      <c r="J5" s="6">
        <f t="shared" si="2"/>
        <v>2.8</v>
      </c>
      <c r="K5" s="5">
        <v>3.15</v>
      </c>
      <c r="L5" s="5">
        <v>1</v>
      </c>
      <c r="M5" s="6">
        <f t="shared" si="3"/>
        <v>3.15</v>
      </c>
      <c r="N5" s="5">
        <v>22</v>
      </c>
      <c r="O5" s="5">
        <v>30</v>
      </c>
      <c r="P5" s="6">
        <f t="shared" si="4"/>
        <v>660</v>
      </c>
      <c r="Q5" s="5">
        <v>16</v>
      </c>
      <c r="R5" s="5">
        <v>30</v>
      </c>
      <c r="S5" s="6">
        <f t="shared" si="5"/>
        <v>480</v>
      </c>
      <c r="T5" s="11">
        <f t="shared" si="6"/>
        <v>360</v>
      </c>
      <c r="U5" s="6">
        <f t="shared" si="7"/>
        <v>2.9749999999999996</v>
      </c>
      <c r="V5" s="6">
        <f t="shared" si="8"/>
        <v>180</v>
      </c>
      <c r="W5" s="12">
        <f t="shared" si="9"/>
        <v>82.576331249999967</v>
      </c>
      <c r="X5" s="12">
        <f t="shared" si="10"/>
        <v>97.423668750000033</v>
      </c>
      <c r="Y5" s="6">
        <f t="shared" si="11"/>
        <v>129600</v>
      </c>
    </row>
    <row r="6" spans="1:25" x14ac:dyDescent="0.25">
      <c r="A6" s="4">
        <v>4</v>
      </c>
      <c r="B6" s="5">
        <v>340</v>
      </c>
      <c r="C6" s="5">
        <v>1</v>
      </c>
      <c r="D6" s="6">
        <f t="shared" si="0"/>
        <v>340</v>
      </c>
      <c r="E6" s="5">
        <v>340</v>
      </c>
      <c r="F6" s="5">
        <v>1</v>
      </c>
      <c r="G6" s="6">
        <f t="shared" si="1"/>
        <v>340</v>
      </c>
      <c r="H6" s="5">
        <v>2.5</v>
      </c>
      <c r="I6" s="5">
        <v>1</v>
      </c>
      <c r="J6" s="6">
        <f t="shared" si="2"/>
        <v>2.5</v>
      </c>
      <c r="K6" s="5">
        <v>2.8</v>
      </c>
      <c r="L6" s="5">
        <v>1</v>
      </c>
      <c r="M6" s="6">
        <f t="shared" si="3"/>
        <v>2.8</v>
      </c>
      <c r="N6" s="5">
        <v>18.5</v>
      </c>
      <c r="O6" s="5">
        <v>30</v>
      </c>
      <c r="P6" s="6">
        <f t="shared" si="4"/>
        <v>555</v>
      </c>
      <c r="Q6" s="5">
        <v>14</v>
      </c>
      <c r="R6" s="5">
        <v>30</v>
      </c>
      <c r="S6" s="6">
        <f t="shared" si="5"/>
        <v>420</v>
      </c>
      <c r="T6" s="11">
        <f t="shared" si="6"/>
        <v>340</v>
      </c>
      <c r="U6" s="6">
        <f t="shared" si="7"/>
        <v>2.65</v>
      </c>
      <c r="V6" s="6">
        <f t="shared" si="8"/>
        <v>135</v>
      </c>
      <c r="W6" s="12">
        <f t="shared" si="9"/>
        <v>65.519925000000001</v>
      </c>
      <c r="X6" s="12">
        <f t="shared" si="10"/>
        <v>69.480074999999999</v>
      </c>
      <c r="Y6" s="6">
        <f t="shared" si="11"/>
        <v>115600</v>
      </c>
    </row>
    <row r="7" spans="1:25" x14ac:dyDescent="0.25">
      <c r="A7" s="4">
        <v>5</v>
      </c>
      <c r="B7" s="5">
        <v>320</v>
      </c>
      <c r="C7" s="5">
        <v>1</v>
      </c>
      <c r="D7" s="6">
        <f t="shared" si="0"/>
        <v>320</v>
      </c>
      <c r="E7" s="5">
        <v>320</v>
      </c>
      <c r="F7" s="5">
        <v>1</v>
      </c>
      <c r="G7" s="6">
        <f t="shared" si="1"/>
        <v>320</v>
      </c>
      <c r="H7" s="5">
        <v>2.2999999999999998</v>
      </c>
      <c r="I7" s="5">
        <v>1</v>
      </c>
      <c r="J7" s="6">
        <f t="shared" si="2"/>
        <v>2.2999999999999998</v>
      </c>
      <c r="K7" s="5">
        <v>2.6</v>
      </c>
      <c r="L7" s="5">
        <v>1</v>
      </c>
      <c r="M7" s="6">
        <f t="shared" si="3"/>
        <v>2.6</v>
      </c>
      <c r="N7" s="5">
        <v>16.5</v>
      </c>
      <c r="O7" s="5">
        <v>30</v>
      </c>
      <c r="P7" s="6">
        <f t="shared" si="4"/>
        <v>495</v>
      </c>
      <c r="Q7" s="5">
        <v>12</v>
      </c>
      <c r="R7" s="5">
        <v>30</v>
      </c>
      <c r="S7" s="6">
        <f t="shared" si="5"/>
        <v>360</v>
      </c>
      <c r="T7" s="11">
        <f t="shared" si="6"/>
        <v>320</v>
      </c>
      <c r="U7" s="6">
        <f t="shared" si="7"/>
        <v>2.4500000000000002</v>
      </c>
      <c r="V7" s="6">
        <f t="shared" si="8"/>
        <v>135</v>
      </c>
      <c r="W7" s="12">
        <f t="shared" si="9"/>
        <v>56.003325000000011</v>
      </c>
      <c r="X7" s="12">
        <f t="shared" si="10"/>
        <v>78.996674999999982</v>
      </c>
      <c r="Y7" s="6">
        <f t="shared" si="11"/>
        <v>102400</v>
      </c>
    </row>
    <row r="8" spans="1:25" x14ac:dyDescent="0.25">
      <c r="A8" s="4">
        <v>6</v>
      </c>
      <c r="B8" s="5">
        <v>300</v>
      </c>
      <c r="C8" s="5">
        <v>1</v>
      </c>
      <c r="D8" s="6">
        <f t="shared" si="0"/>
        <v>300</v>
      </c>
      <c r="E8" s="5">
        <v>300</v>
      </c>
      <c r="F8" s="5">
        <v>1</v>
      </c>
      <c r="G8" s="6">
        <f t="shared" si="1"/>
        <v>300</v>
      </c>
      <c r="H8" s="5">
        <v>2.1</v>
      </c>
      <c r="I8" s="5">
        <v>1</v>
      </c>
      <c r="J8" s="6">
        <f t="shared" si="2"/>
        <v>2.1</v>
      </c>
      <c r="K8" s="5">
        <v>2.2999999999999998</v>
      </c>
      <c r="L8" s="5">
        <v>1</v>
      </c>
      <c r="M8" s="6">
        <f t="shared" si="3"/>
        <v>2.2999999999999998</v>
      </c>
      <c r="N8" s="5">
        <v>14</v>
      </c>
      <c r="O8" s="5">
        <v>30</v>
      </c>
      <c r="P8" s="6">
        <f t="shared" si="4"/>
        <v>420</v>
      </c>
      <c r="Q8" s="5">
        <v>10</v>
      </c>
      <c r="R8" s="5">
        <v>30</v>
      </c>
      <c r="S8" s="6">
        <f t="shared" si="5"/>
        <v>300</v>
      </c>
      <c r="T8" s="11">
        <f t="shared" si="6"/>
        <v>300</v>
      </c>
      <c r="U8" s="6">
        <f t="shared" si="7"/>
        <v>2.2000000000000002</v>
      </c>
      <c r="V8" s="6">
        <f t="shared" si="8"/>
        <v>120</v>
      </c>
      <c r="W8" s="12">
        <f t="shared" si="9"/>
        <v>45.15720000000001</v>
      </c>
      <c r="X8" s="12">
        <f t="shared" si="10"/>
        <v>74.842799999999983</v>
      </c>
      <c r="Y8" s="6">
        <f t="shared" si="11"/>
        <v>90000</v>
      </c>
    </row>
    <row r="9" spans="1:25" x14ac:dyDescent="0.25">
      <c r="A9" s="4">
        <v>7</v>
      </c>
      <c r="B9" s="5">
        <v>250</v>
      </c>
      <c r="C9" s="5">
        <v>1</v>
      </c>
      <c r="D9" s="6">
        <f t="shared" si="0"/>
        <v>250</v>
      </c>
      <c r="E9" s="5">
        <v>250</v>
      </c>
      <c r="F9" s="5">
        <v>1</v>
      </c>
      <c r="G9" s="6">
        <f t="shared" si="1"/>
        <v>250</v>
      </c>
      <c r="H9" s="5">
        <v>1.61</v>
      </c>
      <c r="I9" s="5">
        <v>1</v>
      </c>
      <c r="J9" s="6">
        <f t="shared" si="2"/>
        <v>1.61</v>
      </c>
      <c r="K9" s="5">
        <v>1.8</v>
      </c>
      <c r="L9" s="5">
        <v>1</v>
      </c>
      <c r="M9" s="6">
        <f t="shared" si="3"/>
        <v>1.8</v>
      </c>
      <c r="N9" s="5">
        <v>13</v>
      </c>
      <c r="O9" s="5">
        <v>20</v>
      </c>
      <c r="P9" s="6">
        <f t="shared" si="4"/>
        <v>260</v>
      </c>
      <c r="Q9" s="5">
        <v>9</v>
      </c>
      <c r="R9" s="5">
        <v>20</v>
      </c>
      <c r="S9" s="6">
        <f t="shared" si="5"/>
        <v>180</v>
      </c>
      <c r="T9" s="11">
        <f t="shared" si="6"/>
        <v>250</v>
      </c>
      <c r="U9" s="6">
        <f t="shared" si="7"/>
        <v>1.7050000000000001</v>
      </c>
      <c r="V9" s="6">
        <f t="shared" si="8"/>
        <v>80</v>
      </c>
      <c r="W9" s="12">
        <f t="shared" si="9"/>
        <v>27.12254325</v>
      </c>
      <c r="X9" s="12">
        <f t="shared" si="10"/>
        <v>52.87745675</v>
      </c>
      <c r="Y9" s="6">
        <f t="shared" si="11"/>
        <v>62500</v>
      </c>
    </row>
    <row r="10" spans="1:25" x14ac:dyDescent="0.25">
      <c r="A10" s="4">
        <v>8</v>
      </c>
      <c r="B10" s="5">
        <v>200</v>
      </c>
      <c r="C10" s="5">
        <v>1</v>
      </c>
      <c r="D10" s="6">
        <f t="shared" si="0"/>
        <v>200</v>
      </c>
      <c r="E10" s="5">
        <v>200</v>
      </c>
      <c r="F10" s="5">
        <v>1</v>
      </c>
      <c r="G10" s="6">
        <f t="shared" si="1"/>
        <v>200</v>
      </c>
      <c r="H10" s="5">
        <v>1.22</v>
      </c>
      <c r="I10" s="5">
        <v>1</v>
      </c>
      <c r="J10" s="6">
        <f t="shared" si="2"/>
        <v>1.22</v>
      </c>
      <c r="K10" s="5">
        <v>1.34</v>
      </c>
      <c r="L10" s="5">
        <v>1</v>
      </c>
      <c r="M10" s="6">
        <f t="shared" si="3"/>
        <v>1.34</v>
      </c>
      <c r="N10" s="5">
        <v>8</v>
      </c>
      <c r="O10" s="5">
        <v>20</v>
      </c>
      <c r="P10" s="6">
        <f t="shared" si="4"/>
        <v>160</v>
      </c>
      <c r="Q10" s="5">
        <v>5</v>
      </c>
      <c r="R10" s="5">
        <v>20</v>
      </c>
      <c r="S10" s="6">
        <f t="shared" si="5"/>
        <v>100</v>
      </c>
      <c r="T10" s="11">
        <f t="shared" si="6"/>
        <v>200</v>
      </c>
      <c r="U10" s="6">
        <f t="shared" si="7"/>
        <v>1.28</v>
      </c>
      <c r="V10" s="6">
        <f t="shared" si="8"/>
        <v>60</v>
      </c>
      <c r="W10" s="12">
        <f t="shared" si="9"/>
        <v>15.286272</v>
      </c>
      <c r="X10" s="12">
        <f t="shared" si="10"/>
        <v>44.713728000000003</v>
      </c>
      <c r="Y10" s="6">
        <f t="shared" si="11"/>
        <v>40000</v>
      </c>
    </row>
    <row r="11" spans="1:25" x14ac:dyDescent="0.25">
      <c r="A11" s="4">
        <v>9</v>
      </c>
      <c r="B11" s="5">
        <v>150</v>
      </c>
      <c r="C11" s="5">
        <v>1</v>
      </c>
      <c r="D11" s="6">
        <f t="shared" si="0"/>
        <v>150</v>
      </c>
      <c r="E11" s="5">
        <v>150</v>
      </c>
      <c r="F11" s="5">
        <v>1</v>
      </c>
      <c r="G11" s="6">
        <f t="shared" si="1"/>
        <v>150</v>
      </c>
      <c r="H11" s="5">
        <v>0.85</v>
      </c>
      <c r="I11" s="5">
        <v>1</v>
      </c>
      <c r="J11" s="6">
        <f t="shared" si="2"/>
        <v>0.85</v>
      </c>
      <c r="K11" s="5">
        <v>0.98</v>
      </c>
      <c r="L11" s="5">
        <v>1</v>
      </c>
      <c r="M11" s="6">
        <f t="shared" si="3"/>
        <v>0.98</v>
      </c>
      <c r="N11" s="5">
        <v>9</v>
      </c>
      <c r="O11" s="5">
        <v>10</v>
      </c>
      <c r="P11" s="6">
        <f t="shared" si="4"/>
        <v>90</v>
      </c>
      <c r="Q11" s="5">
        <v>5.5</v>
      </c>
      <c r="R11" s="5">
        <v>10</v>
      </c>
      <c r="S11" s="6">
        <f t="shared" si="5"/>
        <v>55</v>
      </c>
      <c r="T11" s="11">
        <f t="shared" si="6"/>
        <v>150</v>
      </c>
      <c r="U11" s="6">
        <f t="shared" si="7"/>
        <v>0.91500000000000004</v>
      </c>
      <c r="V11" s="6">
        <f t="shared" si="8"/>
        <v>35</v>
      </c>
      <c r="W11" s="12">
        <f t="shared" si="9"/>
        <v>7.8113092500000008</v>
      </c>
      <c r="X11" s="12">
        <f t="shared" si="10"/>
        <v>27.188690749999999</v>
      </c>
      <c r="Y11" s="6">
        <f t="shared" si="11"/>
        <v>22500</v>
      </c>
    </row>
    <row r="12" spans="1:25" x14ac:dyDescent="0.25">
      <c r="A12" s="4">
        <v>10</v>
      </c>
      <c r="B12" s="5">
        <v>100</v>
      </c>
      <c r="C12" s="5">
        <v>1</v>
      </c>
      <c r="D12" s="6">
        <f t="shared" si="0"/>
        <v>100</v>
      </c>
      <c r="E12" s="5">
        <v>100</v>
      </c>
      <c r="F12" s="5">
        <v>1</v>
      </c>
      <c r="G12" s="6">
        <f t="shared" si="1"/>
        <v>100</v>
      </c>
      <c r="H12" s="5">
        <v>0.56000000000000005</v>
      </c>
      <c r="I12" s="5">
        <v>1</v>
      </c>
      <c r="J12" s="6">
        <f t="shared" si="2"/>
        <v>0.56000000000000005</v>
      </c>
      <c r="K12" s="5">
        <v>0.63</v>
      </c>
      <c r="L12" s="5">
        <v>1</v>
      </c>
      <c r="M12" s="6">
        <f t="shared" si="3"/>
        <v>0.63</v>
      </c>
      <c r="N12" s="5">
        <v>4</v>
      </c>
      <c r="O12" s="5">
        <v>10</v>
      </c>
      <c r="P12" s="6">
        <f t="shared" si="4"/>
        <v>40</v>
      </c>
      <c r="Q12" s="5">
        <v>2</v>
      </c>
      <c r="R12" s="5">
        <v>10</v>
      </c>
      <c r="S12" s="6">
        <f t="shared" si="5"/>
        <v>20</v>
      </c>
      <c r="T12" s="11">
        <f t="shared" si="6"/>
        <v>100</v>
      </c>
      <c r="U12" s="6">
        <f t="shared" si="7"/>
        <v>0.59499999999999997</v>
      </c>
      <c r="V12" s="6">
        <f t="shared" si="8"/>
        <v>20</v>
      </c>
      <c r="W12" s="12">
        <f t="shared" si="9"/>
        <v>3.3030532499999996</v>
      </c>
      <c r="X12" s="12">
        <f t="shared" si="10"/>
        <v>16.696946750000002</v>
      </c>
      <c r="Y12" s="6">
        <f t="shared" si="11"/>
        <v>10000</v>
      </c>
    </row>
    <row r="13" spans="1:25" x14ac:dyDescent="0.25">
      <c r="A13" s="4">
        <v>11</v>
      </c>
      <c r="B13" s="5">
        <v>80</v>
      </c>
      <c r="C13" s="5">
        <v>1</v>
      </c>
      <c r="D13" s="6">
        <f t="shared" si="0"/>
        <v>80</v>
      </c>
      <c r="E13" s="5">
        <v>82</v>
      </c>
      <c r="F13" s="5">
        <v>1</v>
      </c>
      <c r="G13" s="6">
        <f t="shared" si="1"/>
        <v>82</v>
      </c>
      <c r="H13" s="5">
        <v>0.4</v>
      </c>
      <c r="I13" s="5">
        <v>1</v>
      </c>
      <c r="J13" s="6">
        <f t="shared" si="2"/>
        <v>0.4</v>
      </c>
      <c r="K13" s="5">
        <v>0.44</v>
      </c>
      <c r="L13" s="5">
        <v>1</v>
      </c>
      <c r="M13" s="6">
        <f t="shared" si="3"/>
        <v>0.44</v>
      </c>
      <c r="N13" s="5">
        <v>2.5</v>
      </c>
      <c r="O13" s="5">
        <v>10</v>
      </c>
      <c r="P13" s="6">
        <f t="shared" si="4"/>
        <v>25</v>
      </c>
      <c r="Q13" s="5">
        <v>0.5</v>
      </c>
      <c r="R13" s="5">
        <v>10</v>
      </c>
      <c r="S13" s="6">
        <f t="shared" si="5"/>
        <v>5</v>
      </c>
      <c r="T13" s="11">
        <f t="shared" si="6"/>
        <v>81</v>
      </c>
      <c r="U13" s="6">
        <f t="shared" si="7"/>
        <v>0.42000000000000004</v>
      </c>
      <c r="V13" s="6">
        <f t="shared" si="8"/>
        <v>20</v>
      </c>
      <c r="W13" s="12">
        <f t="shared" si="9"/>
        <v>1.6458120000000003</v>
      </c>
      <c r="X13" s="12">
        <f t="shared" si="10"/>
        <v>18.354188000000001</v>
      </c>
      <c r="Y13" s="6">
        <f t="shared" si="11"/>
        <v>6561</v>
      </c>
    </row>
    <row r="15" spans="1:25" x14ac:dyDescent="0.25">
      <c r="A15" s="5" t="s">
        <v>22</v>
      </c>
      <c r="B15" s="6">
        <v>3.11</v>
      </c>
      <c r="C15" s="8" t="s">
        <v>23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</sheetData>
  <mergeCells count="7">
    <mergeCell ref="Q1:S1"/>
    <mergeCell ref="A1:A2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"/>
  <sheetViews>
    <sheetView workbookViewId="0">
      <selection activeCell="X23" sqref="X23"/>
    </sheetView>
  </sheetViews>
  <sheetFormatPr defaultRowHeight="15" x14ac:dyDescent="0.25"/>
  <cols>
    <col min="1" max="1" width="9.140625" style="1"/>
    <col min="2" max="2" width="4" style="1" bestFit="1" customWidth="1"/>
    <col min="3" max="3" width="2.28515625" style="1" bestFit="1" customWidth="1"/>
    <col min="4" max="5" width="4" style="1" bestFit="1" customWidth="1"/>
    <col min="6" max="6" width="2.28515625" style="1" bestFit="1" customWidth="1"/>
    <col min="7" max="8" width="4" style="1" bestFit="1" customWidth="1"/>
    <col min="9" max="9" width="2.28515625" style="1" bestFit="1" customWidth="1"/>
    <col min="10" max="11" width="4" style="1" bestFit="1" customWidth="1"/>
    <col min="12" max="12" width="2.28515625" style="1" bestFit="1" customWidth="1"/>
    <col min="13" max="13" width="4" style="1" bestFit="1" customWidth="1"/>
    <col min="14" max="14" width="2.140625" style="1" bestFit="1" customWidth="1"/>
    <col min="15" max="18" width="3" style="1" bestFit="1" customWidth="1"/>
    <col min="19" max="19" width="4" style="1" bestFit="1" customWidth="1"/>
    <col min="20" max="20" width="7.28515625" style="1" bestFit="1" customWidth="1"/>
    <col min="21" max="21" width="6.7109375" style="1" bestFit="1" customWidth="1"/>
    <col min="22" max="22" width="7.5703125" style="1" bestFit="1" customWidth="1"/>
    <col min="23" max="16384" width="9.140625" style="1"/>
  </cols>
  <sheetData>
    <row r="1" spans="1:22" x14ac:dyDescent="0.25">
      <c r="A1" s="3" t="s">
        <v>0</v>
      </c>
      <c r="B1" s="3" t="s">
        <v>11</v>
      </c>
      <c r="C1" s="3"/>
      <c r="D1" s="3"/>
      <c r="E1" s="3" t="s">
        <v>10</v>
      </c>
      <c r="F1" s="3"/>
      <c r="G1" s="3"/>
      <c r="H1" s="3" t="s">
        <v>9</v>
      </c>
      <c r="I1" s="3"/>
      <c r="J1" s="3"/>
      <c r="K1" s="3" t="s">
        <v>8</v>
      </c>
      <c r="L1" s="3"/>
      <c r="M1" s="3"/>
      <c r="N1" s="3" t="s">
        <v>7</v>
      </c>
      <c r="O1" s="3"/>
      <c r="P1" s="3"/>
      <c r="Q1" s="3" t="s">
        <v>6</v>
      </c>
      <c r="R1" s="3"/>
      <c r="S1" s="3"/>
      <c r="T1" s="4" t="s">
        <v>3</v>
      </c>
      <c r="U1" s="4" t="s">
        <v>4</v>
      </c>
      <c r="V1" s="4" t="s">
        <v>5</v>
      </c>
    </row>
    <row r="2" spans="1:22" x14ac:dyDescent="0.25">
      <c r="A2" s="3"/>
      <c r="B2" s="4" t="s">
        <v>1</v>
      </c>
      <c r="C2" s="4" t="s">
        <v>2</v>
      </c>
      <c r="D2" s="4"/>
      <c r="E2" s="4" t="s">
        <v>1</v>
      </c>
      <c r="F2" s="4" t="s">
        <v>2</v>
      </c>
      <c r="G2" s="4"/>
      <c r="H2" s="4" t="s">
        <v>1</v>
      </c>
      <c r="I2" s="4" t="s">
        <v>2</v>
      </c>
      <c r="J2" s="4"/>
      <c r="K2" s="4" t="s">
        <v>1</v>
      </c>
      <c r="L2" s="4" t="s">
        <v>2</v>
      </c>
      <c r="M2" s="4"/>
      <c r="N2" s="4" t="s">
        <v>1</v>
      </c>
      <c r="O2" s="4" t="s">
        <v>2</v>
      </c>
      <c r="P2" s="4"/>
      <c r="Q2" s="4" t="s">
        <v>1</v>
      </c>
      <c r="R2" s="4" t="s">
        <v>2</v>
      </c>
      <c r="S2" s="4"/>
      <c r="T2" s="4"/>
      <c r="U2" s="4"/>
      <c r="V2" s="4"/>
    </row>
    <row r="3" spans="1:22" x14ac:dyDescent="0.25">
      <c r="A3" s="4">
        <v>1</v>
      </c>
      <c r="B3" s="5">
        <v>30</v>
      </c>
      <c r="C3" s="5">
        <v>1</v>
      </c>
      <c r="D3" s="6">
        <f>B3*C3</f>
        <v>30</v>
      </c>
      <c r="E3" s="5">
        <v>30</v>
      </c>
      <c r="F3" s="5">
        <v>1</v>
      </c>
      <c r="G3" s="6">
        <f>E3*F3</f>
        <v>30</v>
      </c>
      <c r="H3" s="5">
        <v>1.5</v>
      </c>
      <c r="I3" s="5">
        <v>1</v>
      </c>
      <c r="J3" s="6">
        <f>H3*I3</f>
        <v>1.5</v>
      </c>
      <c r="K3" s="5">
        <v>1.5</v>
      </c>
      <c r="L3" s="5">
        <v>1</v>
      </c>
      <c r="M3" s="6">
        <f>K3*L3</f>
        <v>1.5</v>
      </c>
      <c r="N3" s="5">
        <v>0</v>
      </c>
      <c r="O3" s="5">
        <v>10</v>
      </c>
      <c r="P3" s="6">
        <f>N3*O3</f>
        <v>0</v>
      </c>
      <c r="Q3" s="5">
        <v>4</v>
      </c>
      <c r="R3" s="5">
        <v>10</v>
      </c>
      <c r="S3" s="6">
        <f>Q3*R3</f>
        <v>40</v>
      </c>
      <c r="T3" s="6">
        <f>(D3+G3)/2</f>
        <v>30</v>
      </c>
      <c r="U3" s="6">
        <f>(J3+M3)/2</f>
        <v>1.5</v>
      </c>
      <c r="V3" s="6">
        <f>P3+S3</f>
        <v>40</v>
      </c>
    </row>
    <row r="4" spans="1:22" x14ac:dyDescent="0.25">
      <c r="A4" s="4">
        <v>2</v>
      </c>
      <c r="B4" s="5">
        <v>40</v>
      </c>
      <c r="C4" s="5">
        <v>1</v>
      </c>
      <c r="D4" s="6">
        <f t="shared" ref="D4:D8" si="0">B4*C4</f>
        <v>40</v>
      </c>
      <c r="E4" s="5">
        <v>40</v>
      </c>
      <c r="F4" s="5">
        <v>1</v>
      </c>
      <c r="G4" s="6">
        <f t="shared" ref="G4:G8" si="1">E4*F4</f>
        <v>40</v>
      </c>
      <c r="H4" s="5">
        <v>2.1</v>
      </c>
      <c r="I4" s="5">
        <v>1</v>
      </c>
      <c r="J4" s="6">
        <f t="shared" ref="J4:J8" si="2">H4*I4</f>
        <v>2.1</v>
      </c>
      <c r="K4" s="5">
        <v>2</v>
      </c>
      <c r="L4" s="5">
        <v>1</v>
      </c>
      <c r="M4" s="6">
        <f t="shared" ref="M4:M8" si="3">K4*L4</f>
        <v>2</v>
      </c>
      <c r="N4" s="5">
        <v>0</v>
      </c>
      <c r="O4" s="5">
        <v>10</v>
      </c>
      <c r="P4" s="6">
        <f t="shared" ref="P4:P8" si="4">N4*O4</f>
        <v>0</v>
      </c>
      <c r="Q4" s="5">
        <v>7</v>
      </c>
      <c r="R4" s="5">
        <v>10</v>
      </c>
      <c r="S4" s="6">
        <f t="shared" ref="S4:S8" si="5">Q4*R4</f>
        <v>70</v>
      </c>
      <c r="T4" s="6">
        <f t="shared" ref="T4:T8" si="6">(D4+G4)/2</f>
        <v>40</v>
      </c>
      <c r="U4" s="6">
        <f t="shared" ref="U4:U8" si="7">(J4+M4)/2</f>
        <v>2.0499999999999998</v>
      </c>
      <c r="V4" s="6">
        <f t="shared" ref="V4:V8" si="8">P4+S4</f>
        <v>70</v>
      </c>
    </row>
    <row r="5" spans="1:22" x14ac:dyDescent="0.25">
      <c r="A5" s="4">
        <v>3</v>
      </c>
      <c r="B5" s="5">
        <v>58</v>
      </c>
      <c r="C5" s="5">
        <v>1</v>
      </c>
      <c r="D5" s="6">
        <f t="shared" si="0"/>
        <v>58</v>
      </c>
      <c r="E5" s="5">
        <v>57</v>
      </c>
      <c r="F5" s="5">
        <v>1</v>
      </c>
      <c r="G5" s="6">
        <f t="shared" si="1"/>
        <v>57</v>
      </c>
      <c r="H5" s="5">
        <v>3</v>
      </c>
      <c r="I5" s="5">
        <v>1</v>
      </c>
      <c r="J5" s="6">
        <f t="shared" si="2"/>
        <v>3</v>
      </c>
      <c r="K5" s="5">
        <v>3</v>
      </c>
      <c r="L5" s="5">
        <v>1</v>
      </c>
      <c r="M5" s="6">
        <f t="shared" si="3"/>
        <v>3</v>
      </c>
      <c r="N5" s="5">
        <v>0</v>
      </c>
      <c r="O5" s="5">
        <v>10</v>
      </c>
      <c r="P5" s="6">
        <f t="shared" si="4"/>
        <v>0</v>
      </c>
      <c r="Q5" s="5">
        <v>15</v>
      </c>
      <c r="R5" s="5">
        <v>10</v>
      </c>
      <c r="S5" s="6">
        <f t="shared" si="5"/>
        <v>150</v>
      </c>
      <c r="T5" s="6">
        <f t="shared" si="6"/>
        <v>57.5</v>
      </c>
      <c r="U5" s="6">
        <f t="shared" si="7"/>
        <v>3</v>
      </c>
      <c r="V5" s="6">
        <f t="shared" si="8"/>
        <v>150</v>
      </c>
    </row>
    <row r="6" spans="1:22" x14ac:dyDescent="0.25">
      <c r="A6" s="4">
        <v>4</v>
      </c>
      <c r="B6" s="5">
        <v>76</v>
      </c>
      <c r="C6" s="5">
        <v>1</v>
      </c>
      <c r="D6" s="6">
        <f t="shared" si="0"/>
        <v>76</v>
      </c>
      <c r="E6" s="5">
        <v>76</v>
      </c>
      <c r="F6" s="5">
        <v>1</v>
      </c>
      <c r="G6" s="6">
        <f t="shared" si="1"/>
        <v>76</v>
      </c>
      <c r="H6" s="5">
        <v>4.0999999999999996</v>
      </c>
      <c r="I6" s="5">
        <v>1</v>
      </c>
      <c r="J6" s="6">
        <f t="shared" si="2"/>
        <v>4.0999999999999996</v>
      </c>
      <c r="K6" s="5">
        <v>4</v>
      </c>
      <c r="L6" s="5">
        <v>1</v>
      </c>
      <c r="M6" s="6">
        <f t="shared" si="3"/>
        <v>4</v>
      </c>
      <c r="N6" s="5">
        <v>1</v>
      </c>
      <c r="O6" s="5">
        <v>10</v>
      </c>
      <c r="P6" s="6">
        <f t="shared" si="4"/>
        <v>10</v>
      </c>
      <c r="Q6" s="5">
        <v>28</v>
      </c>
      <c r="R6" s="5">
        <v>10</v>
      </c>
      <c r="S6" s="6">
        <f t="shared" si="5"/>
        <v>280</v>
      </c>
      <c r="T6" s="6">
        <f t="shared" si="6"/>
        <v>76</v>
      </c>
      <c r="U6" s="6">
        <f t="shared" si="7"/>
        <v>4.05</v>
      </c>
      <c r="V6" s="6">
        <f t="shared" si="8"/>
        <v>290</v>
      </c>
    </row>
    <row r="7" spans="1:22" x14ac:dyDescent="0.25">
      <c r="A7" s="4">
        <v>5</v>
      </c>
      <c r="B7" s="5">
        <v>92</v>
      </c>
      <c r="C7" s="5">
        <v>1</v>
      </c>
      <c r="D7" s="6">
        <f t="shared" si="0"/>
        <v>92</v>
      </c>
      <c r="E7" s="5">
        <v>91</v>
      </c>
      <c r="F7" s="5">
        <v>1</v>
      </c>
      <c r="G7" s="6">
        <f t="shared" si="1"/>
        <v>91</v>
      </c>
      <c r="H7" s="5">
        <v>5</v>
      </c>
      <c r="I7" s="5">
        <v>1</v>
      </c>
      <c r="J7" s="6">
        <f t="shared" si="2"/>
        <v>5</v>
      </c>
      <c r="K7" s="5">
        <v>4.9000000000000004</v>
      </c>
      <c r="L7" s="5">
        <v>1</v>
      </c>
      <c r="M7" s="6">
        <f t="shared" si="3"/>
        <v>4.9000000000000004</v>
      </c>
      <c r="N7" s="5">
        <v>1</v>
      </c>
      <c r="O7" s="5">
        <v>10</v>
      </c>
      <c r="P7" s="6">
        <f t="shared" si="4"/>
        <v>10</v>
      </c>
      <c r="Q7" s="5">
        <v>41</v>
      </c>
      <c r="R7" s="5">
        <v>10</v>
      </c>
      <c r="S7" s="6">
        <f t="shared" si="5"/>
        <v>410</v>
      </c>
      <c r="T7" s="6">
        <f t="shared" si="6"/>
        <v>91.5</v>
      </c>
      <c r="U7" s="6">
        <f t="shared" si="7"/>
        <v>4.95</v>
      </c>
      <c r="V7" s="6">
        <f t="shared" si="8"/>
        <v>420</v>
      </c>
    </row>
    <row r="8" spans="1:22" x14ac:dyDescent="0.25">
      <c r="A8" s="4">
        <v>6</v>
      </c>
      <c r="B8" s="5">
        <v>112</v>
      </c>
      <c r="C8" s="5">
        <v>1</v>
      </c>
      <c r="D8" s="6">
        <f t="shared" si="0"/>
        <v>112</v>
      </c>
      <c r="E8" s="5">
        <v>110</v>
      </c>
      <c r="F8" s="5">
        <v>1</v>
      </c>
      <c r="G8" s="6">
        <f t="shared" si="1"/>
        <v>110</v>
      </c>
      <c r="H8" s="5">
        <v>6</v>
      </c>
      <c r="I8" s="5">
        <v>1</v>
      </c>
      <c r="J8" s="6">
        <f t="shared" si="2"/>
        <v>6</v>
      </c>
      <c r="K8" s="5">
        <v>6</v>
      </c>
      <c r="L8" s="5">
        <v>1</v>
      </c>
      <c r="M8" s="6">
        <f t="shared" si="3"/>
        <v>6</v>
      </c>
      <c r="N8" s="5">
        <v>3</v>
      </c>
      <c r="O8" s="5">
        <v>10</v>
      </c>
      <c r="P8" s="6">
        <f t="shared" si="4"/>
        <v>30</v>
      </c>
      <c r="Q8" s="5">
        <v>61</v>
      </c>
      <c r="R8" s="5">
        <v>10</v>
      </c>
      <c r="S8" s="6">
        <f t="shared" si="5"/>
        <v>610</v>
      </c>
      <c r="T8" s="6">
        <f t="shared" si="6"/>
        <v>111</v>
      </c>
      <c r="U8" s="6">
        <f t="shared" si="7"/>
        <v>6</v>
      </c>
      <c r="V8" s="6">
        <f t="shared" si="8"/>
        <v>640</v>
      </c>
    </row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Празан ход</vt:lpstr>
      <vt:lpstr>Кратак спој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2021-06-04T17:10:04Z</dcterms:created>
  <dcterms:modified xsi:type="dcterms:W3CDTF">2021-06-05T14:15:59Z</dcterms:modified>
</cp:coreProperties>
</file>